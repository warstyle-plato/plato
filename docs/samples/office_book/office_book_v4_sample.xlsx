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шборд" sheetId="1" state="visible" r:id="rId1"/>
    <sheet xmlns:r="http://schemas.openxmlformats.org/officeDocument/2006/relationships" name="ОТЧЕТ" sheetId="2" state="visible" r:id="rId2"/>
    <sheet xmlns:r="http://schemas.openxmlformats.org/officeDocument/2006/relationships" name="Вводные" sheetId="3" state="visible" r:id="rId3"/>
    <sheet xmlns:r="http://schemas.openxmlformats.org/officeDocument/2006/relationships" name="ИНСТРУКЦИЯ" sheetId="4" state="visible" r:id="rId4"/>
    <sheet xmlns:r="http://schemas.openxmlformats.org/officeDocument/2006/relationships" name="СРОКИ" sheetId="5" state="visible" r:id="rId5"/>
    <sheet xmlns:r="http://schemas.openxmlformats.org/officeDocument/2006/relationships" name="CAPEX" sheetId="6" state="visible" r:id="rId6"/>
    <sheet xmlns:r="http://schemas.openxmlformats.org/officeDocument/2006/relationships" name="Ставки" sheetId="7" state="visible" r:id="rId7"/>
    <sheet xmlns:r="http://schemas.openxmlformats.org/officeDocument/2006/relationships" name="Продажа" sheetId="8" state="visible" r:id="rId8"/>
    <sheet xmlns:r="http://schemas.openxmlformats.org/officeDocument/2006/relationships" name="Аренда" sheetId="9" state="visible" r:id="rId9"/>
    <sheet xmlns:r="http://schemas.openxmlformats.org/officeDocument/2006/relationships" name="Выход" sheetId="10" state="visible" r:id="rId10"/>
    <sheet xmlns:r="http://schemas.openxmlformats.org/officeDocument/2006/relationships" name="CF_Продажа" sheetId="11" state="visible" r:id="rId11"/>
    <sheet xmlns:r="http://schemas.openxmlformats.org/officeDocument/2006/relationships" name="CF_Аренда" sheetId="12" state="visible" r:id="rId12"/>
    <sheet xmlns:r="http://schemas.openxmlformats.org/officeDocument/2006/relationships" name="ПРОВЕРКИ" sheetId="13" state="visible" r:id="rId13"/>
  </sheets>
  <definedNames>
    <definedName name="_xlnm.Print_Titles" localSheetId="4">'СРОКИ'!$3:$4,'СРОКИ'!$A:$C</definedName>
    <definedName name="_xlnm.Print_Titles" localSheetId="5">'CAPEX'!$3:$4,'CAPEX'!$A:$C</definedName>
    <definedName name="_xlnm.Print_Titles" localSheetId="6">'Ставки'!$3:$4,'Ставки'!$A:$C</definedName>
    <definedName name="_xlnm.Print_Titles" localSheetId="7">'Продажа'!$3:$4,'Продажа'!$A:$C</definedName>
    <definedName name="_xlnm.Print_Titles" localSheetId="8">'Аренда'!$3:$4,'Аренда'!$A:$C</definedName>
    <definedName name="_xlnm.Print_Titles" localSheetId="10">'CF_Продажа'!$3:$4,'CF_Продажа'!$A:$C</definedName>
    <definedName name="_xlnm.Print_Titles" localSheetId="11">'CF_Аренда'!$3:$4,'CF_Аренда'!$A:$C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mm.yyyy"/>
    <numFmt numFmtId="166" formatCode="0.0%;[Red]-0.0%;-"/>
    <numFmt numFmtId="167" formatCode="#,##0;[Red](#,##0);-"/>
    <numFmt numFmtId="168" formatCode="#,##0.0;[Red](#,##0.0);-"/>
    <numFmt numFmtId="169" formatCode="mmm yyyy"/>
    <numFmt numFmtId="170" formatCode="0.000"/>
  </numFmts>
  <fonts count="10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color rgb="00666666"/>
      <sz val="11"/>
    </font>
    <font>
      <name val="Carlito"/>
      <b val="1"/>
      <color rgb="000B1F33"/>
      <sz val="11"/>
    </font>
    <font>
      <name val="Carlito"/>
      <color rgb="000000FF"/>
      <sz val="11"/>
    </font>
    <font>
      <name val="Carlito"/>
      <i val="1"/>
      <color rgb="00666666"/>
      <sz val="11"/>
    </font>
    <font>
      <name val="Carlito"/>
      <b val="1"/>
      <sz val="11"/>
    </font>
    <font>
      <name val="Carlito"/>
      <color rgb="000B1F33"/>
      <sz val="11"/>
    </font>
    <font>
      <name val="Carlito"/>
      <sz val="11"/>
    </font>
    <font>
      <name val="Carlito"/>
      <b val="1"/>
      <color rgb="000B1F33"/>
      <sz val="18"/>
    </font>
  </fonts>
  <fills count="8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2F6DB5"/>
      </patternFill>
    </fill>
    <fill>
      <patternFill patternType="solid">
        <fgColor rgb="00C26A0A"/>
      </patternFill>
    </fill>
  </fills>
  <borders count="2">
    <border>
      <left/>
      <right/>
      <top/>
      <bottom/>
      <diagonal/>
    </border>
    <border>
      <bottom style="thin">
        <color rgb="00C9D3DE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1" fillId="6" borderId="0" pivotButton="0" quotePrefix="0" xfId="0"/>
    <xf numFmtId="0" fontId="1" fillId="7" borderId="0" pivotButton="0" quotePrefix="0" xfId="0"/>
    <xf numFmtId="167" fontId="9" fillId="3" borderId="0" applyAlignment="1" pivotButton="0" quotePrefix="0" xfId="0">
      <alignment horizontal="center" vertical="center"/>
    </xf>
    <xf numFmtId="166" fontId="9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1" fillId="5" borderId="0" pivotButton="0" quotePrefix="0" xfId="0"/>
    <xf numFmtId="0" fontId="0" fillId="0" borderId="1" pivotButton="0" quotePrefix="0" xfId="0"/>
    <xf numFmtId="167" fontId="0" fillId="0" borderId="1" applyAlignment="1" pivotButton="0" quotePrefix="0" xfId="0">
      <alignment horizontal="right"/>
    </xf>
    <xf numFmtId="0" fontId="6" fillId="3" borderId="1" pivotButton="0" quotePrefix="0" xfId="0"/>
    <xf numFmtId="167" fontId="6" fillId="3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3" fillId="0" borderId="0" pivotButton="0" quotePrefix="0" xfId="0"/>
    <xf numFmtId="167" fontId="0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49" fontId="4" fillId="4" borderId="0" pivotButton="0" quotePrefix="0" xfId="0"/>
    <xf numFmtId="0" fontId="5" fillId="0" borderId="0" pivotButton="0" quotePrefix="0" xfId="0"/>
    <xf numFmtId="165" fontId="4" fillId="4" borderId="0" pivotButton="0" quotePrefix="0" xfId="0"/>
    <xf numFmtId="1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68" fontId="0" fillId="0" borderId="0" pivotButton="0" quotePrefix="0" xfId="0"/>
    <xf numFmtId="167" fontId="6" fillId="0" borderId="0" pivotButton="0" quotePrefix="0" xfId="0"/>
    <xf numFmtId="166" fontId="0" fillId="0" borderId="0" pivotButton="0" quotePrefix="0" xfId="0"/>
    <xf numFmtId="166" fontId="6" fillId="0" borderId="0" pivotButton="0" quotePrefix="0" xfId="0"/>
    <xf numFmtId="1" fontId="0" fillId="0" borderId="0" pivotButton="0" quotePrefix="0" xfId="0"/>
    <xf numFmtId="1" fontId="6" fillId="0" borderId="0" pivotButton="0" quotePrefix="0" xfId="0"/>
    <xf numFmtId="10" fontId="4" fillId="4" borderId="0" pivotButton="0" quotePrefix="0" xfId="0"/>
    <xf numFmtId="0" fontId="6" fillId="0" borderId="0" pivotButton="0" quotePrefix="0" xfId="0"/>
    <xf numFmtId="169" fontId="1" fillId="5" borderId="0" pivotButton="0" quotePrefix="0" xfId="0"/>
    <xf numFmtId="1" fontId="7" fillId="3" borderId="0" pivotButton="0" quotePrefix="0" xfId="0"/>
    <xf numFmtId="0" fontId="8" fillId="0" borderId="1" pivotButton="0" quotePrefix="0" xfId="0"/>
    <xf numFmtId="0" fontId="2" fillId="0" borderId="1" pivotButton="0" quotePrefix="0" xfId="0"/>
    <xf numFmtId="1" fontId="0" fillId="0" borderId="1" pivotButton="0" quotePrefix="0" xfId="0"/>
    <xf numFmtId="0" fontId="5" fillId="0" borderId="1" pivotButton="0" quotePrefix="0" xfId="0"/>
    <xf numFmtId="168" fontId="6" fillId="0" borderId="1" pivotButton="0" quotePrefix="0" xfId="0"/>
    <xf numFmtId="168" fontId="5" fillId="0" borderId="1" pivotButton="0" quotePrefix="0" xfId="0"/>
    <xf numFmtId="0" fontId="6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170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Поток собственника по годам, млн 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'ОТЧЕТ'!B24</f>
            </strRef>
          </tx>
          <spPr>
            <a:solidFill xmlns:a="http://schemas.openxmlformats.org/drawingml/2006/main">
              <a:srgbClr val="2F6DB5"/>
            </a:solidFill>
            <a:ln xmlns:a="http://schemas.openxmlformats.org/drawingml/2006/main">
              <a:prstDash val="solid"/>
            </a:ln>
          </spPr>
          <cat>
            <numRef>
              <f>'ОТЧЕТ'!$A$25:$A$34</f>
            </numRef>
          </cat>
          <val>
            <numRef>
              <f>'ОТЧЕТ'!$B$25:$B$34</f>
            </numRef>
          </val>
        </ser>
        <ser>
          <idx val="1"/>
          <order val="1"/>
          <tx>
            <strRef>
              <f>'ОТЧЕТ'!C24</f>
            </strRef>
          </tx>
          <spPr>
            <a:solidFill xmlns:a="http://schemas.openxmlformats.org/drawingml/2006/main">
              <a:srgbClr val="C26A0A"/>
            </a:solidFill>
            <a:ln xmlns:a="http://schemas.openxmlformats.org/drawingml/2006/main">
              <a:prstDash val="solid"/>
            </a:ln>
          </spPr>
          <cat>
            <numRef>
              <f>'ОТЧЕТ'!$A$25:$A$34</f>
            </numRef>
          </cat>
          <val>
            <numRef>
              <f>'ОТЧЕТ'!$C$25:$C$34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79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B1F33"/>
    <outlinePr summaryBelow="1" summaryRight="1"/>
    <pageSetUpPr fitToPage="1"/>
  </sheetPr>
  <dimension ref="A1:L1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DEVELOPAID · ИНВЕСТИЦИОННЫЙ ДАШБОРД · ОФИС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>
        <f>'Вводные'!$B$6&amp;" · класс "&amp;'Вводные'!$B$7</f>
        <v/>
      </c>
    </row>
    <row r="4">
      <c r="A4" s="4" t="inlineStr">
        <is>
          <t>NPV · продажа, млн ₽</t>
        </is>
      </c>
      <c r="E4" s="5" t="inlineStr">
        <is>
          <t>NPV · аренда, млн ₽</t>
        </is>
      </c>
      <c r="I4" s="5" t="inlineStr">
        <is>
          <t>Доходность на затраты</t>
        </is>
      </c>
    </row>
    <row r="5">
      <c r="A5" s="6">
        <f>'CF_Продажа'!$B$37</f>
        <v/>
      </c>
      <c r="E5" s="6">
        <f>'CF_Аренда'!$B$43</f>
        <v/>
      </c>
      <c r="I5" s="7">
        <f>'Выход'!$B$10</f>
        <v/>
      </c>
    </row>
    <row r="6"/>
    <row r="8">
      <c r="A8" s="5" t="inlineStr">
        <is>
          <t>Ставка капитализации</t>
        </is>
      </c>
      <c r="E8" s="4" t="inlineStr">
        <is>
          <t>Пик своих денег · продажа</t>
        </is>
      </c>
      <c r="I8" s="5" t="inlineStr">
        <is>
          <t>Пик своих денег · аренда</t>
        </is>
      </c>
    </row>
    <row r="9">
      <c r="A9" s="7">
        <f>'Выход'!$B$5</f>
        <v/>
      </c>
      <c r="E9" s="6">
        <f>'CF_Продажа'!$B$41</f>
        <v/>
      </c>
      <c r="I9" s="6">
        <f>'CF_Аренда'!$B$47</f>
        <v/>
      </c>
    </row>
    <row r="10"/>
    <row r="12">
      <c r="A12" s="8">
        <f>IF(AND('ОТЧЕТ'!B12&lt;0,'ОТЧЕТ'!C12&lt;0),"Проект не окупается ни продажей, ни арендой. ","")&amp;IF('ОТЧЕТ'!B12&gt;'ОТЧЕТ'!C12,"Продажа выгоднее аренды.","Аренда выгоднее продажи.")&amp;IF('Выход'!$B$11&lt;0," Доходность на затраты ниже ставки капитализации: готовое здание стоит дешевле его стройки.","")</f>
        <v/>
      </c>
    </row>
    <row r="13"/>
  </sheetData>
  <mergeCells count="13">
    <mergeCell ref="A12:L13"/>
    <mergeCell ref="A5:C6"/>
    <mergeCell ref="A8:C8"/>
    <mergeCell ref="E5:G6"/>
    <mergeCell ref="E8:G8"/>
    <mergeCell ref="I5:K6"/>
    <mergeCell ref="I8:K8"/>
    <mergeCell ref="I9:K10"/>
    <mergeCell ref="E4:G4"/>
    <mergeCell ref="A9:C10"/>
    <mergeCell ref="I4:K4"/>
    <mergeCell ref="E9:G10"/>
    <mergeCell ref="A4:C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1F33"/>
    <outlinePr summaryBelow="1" summaryRight="1"/>
    <pageSetUpPr fitToPage="1"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4" customWidth="1" min="3" max="3"/>
    <col width="40" customWidth="1" min="4" max="4"/>
  </cols>
  <sheetData>
    <row r="1">
      <c r="A1" s="1" t="inlineStr">
        <is>
          <t>DEVELOPAID · ОТЧЁТ · ДВА ПУТИ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Все числа — ссылки на листы модели. млн ₽ с НДС.</t>
        </is>
      </c>
    </row>
    <row r="4">
      <c r="A4" s="9" t="inlineStr">
        <is>
          <t>Показатель</t>
        </is>
      </c>
      <c r="B4" s="4" t="inlineStr">
        <is>
          <t>Продажа блоками</t>
        </is>
      </c>
      <c r="C4" s="5" t="inlineStr">
        <is>
          <t>Аренда и продажа здания</t>
        </is>
      </c>
    </row>
    <row r="5">
      <c r="A5" s="10" t="inlineStr">
        <is>
          <t>Выручка</t>
        </is>
      </c>
      <c r="B5" s="11">
        <f>'CF_Продажа'!$B$7</f>
        <v/>
      </c>
      <c r="C5" s="11">
        <f>'CF_Аренда'!$B$7</f>
        <v/>
      </c>
    </row>
    <row r="6">
      <c r="A6" s="10" t="inlineStr">
        <is>
          <t>Все затраты на создание, с участком</t>
        </is>
      </c>
      <c r="B6" s="11">
        <f>'CAPEX'!$B$9</f>
        <v/>
      </c>
      <c r="C6" s="11">
        <f>'CAPEX'!$B$9</f>
        <v/>
      </c>
    </row>
    <row r="7">
      <c r="A7" s="10" t="inlineStr">
        <is>
          <t>Расходы на продажу или эксплуатацию</t>
        </is>
      </c>
      <c r="B7" s="11">
        <f>'CF_Продажа'!$B$8</f>
        <v/>
      </c>
      <c r="C7" s="11">
        <f>'CF_Аренда'!$B$8</f>
        <v/>
      </c>
    </row>
    <row r="8">
      <c r="A8" s="10" t="inlineStr">
        <is>
          <t>Проценты уплаченные и капитализированные</t>
        </is>
      </c>
      <c r="B8" s="11">
        <f>'CF_Продажа'!$B$18</f>
        <v/>
      </c>
      <c r="C8" s="11">
        <f>'CF_Аренда'!$B$18</f>
        <v/>
      </c>
    </row>
    <row r="9">
      <c r="A9" s="10" t="inlineStr">
        <is>
          <t>Комиссии банка</t>
        </is>
      </c>
      <c r="B9" s="11">
        <f>'CF_Продажа'!$B$29</f>
        <v/>
      </c>
      <c r="C9" s="11">
        <f>'CF_Аренда'!$B$35</f>
        <v/>
      </c>
    </row>
    <row r="10">
      <c r="A10" s="10" t="inlineStr">
        <is>
          <t>Налог на прибыль</t>
        </is>
      </c>
      <c r="B10" s="11">
        <f>'CF_Продажа'!$B$32</f>
        <v/>
      </c>
      <c r="C10" s="11">
        <f>'CF_Аренда'!$B$38</f>
        <v/>
      </c>
    </row>
    <row r="11">
      <c r="A11" s="12" t="inlineStr">
        <is>
          <t>Чистая прибыль</t>
        </is>
      </c>
      <c r="B11" s="13">
        <f>'CF_Продажа'!$B$42</f>
        <v/>
      </c>
      <c r="C11" s="13">
        <f>'CF_Аренда'!$B$48</f>
        <v/>
      </c>
    </row>
    <row r="12">
      <c r="A12" s="12" t="inlineStr">
        <is>
          <t>NPV проекта</t>
        </is>
      </c>
      <c r="B12" s="13">
        <f>'CF_Продажа'!$B$37</f>
        <v/>
      </c>
      <c r="C12" s="13">
        <f>'CF_Аренда'!$B$43</f>
        <v/>
      </c>
    </row>
    <row r="13">
      <c r="A13" s="10" t="inlineStr">
        <is>
          <t>IRR проекта (до кредита)</t>
        </is>
      </c>
      <c r="B13" s="14">
        <f>'CF_Продажа'!$B$38</f>
        <v/>
      </c>
      <c r="C13" s="14">
        <f>'CF_Аренда'!$B$44</f>
        <v/>
      </c>
    </row>
    <row r="14">
      <c r="A14" s="10" t="inlineStr">
        <is>
          <t>NPV собственника</t>
        </is>
      </c>
      <c r="B14" s="11">
        <f>'CF_Продажа'!$B$40</f>
        <v/>
      </c>
      <c r="C14" s="11">
        <f>'CF_Аренда'!$B$46</f>
        <v/>
      </c>
    </row>
    <row r="15">
      <c r="A15" s="10" t="inlineStr">
        <is>
          <t>Пик собственных денег</t>
        </is>
      </c>
      <c r="B15" s="11">
        <f>'CF_Продажа'!$B$41</f>
        <v/>
      </c>
      <c r="C15" s="11">
        <f>'CF_Аренда'!$B$47</f>
        <v/>
      </c>
    </row>
    <row r="16">
      <c r="A16" s="10" t="inlineStr">
        <is>
          <t>NOI года после заполнения</t>
        </is>
      </c>
      <c r="B16" s="11" t="inlineStr">
        <is>
          <t>не применяется</t>
        </is>
      </c>
      <c r="C16" s="11">
        <f>'Выход'!$B$9</f>
        <v/>
      </c>
    </row>
    <row r="17">
      <c r="A17" s="10" t="inlineStr">
        <is>
          <t>Доходность на затраты</t>
        </is>
      </c>
      <c r="B17" s="14" t="inlineStr">
        <is>
          <t>не применяется</t>
        </is>
      </c>
      <c r="C17" s="14">
        <f>'Выход'!$B$10</f>
        <v/>
      </c>
    </row>
    <row r="18">
      <c r="A18" s="10" t="inlineStr">
        <is>
          <t>Ставка капитализации</t>
        </is>
      </c>
      <c r="B18" s="14" t="inlineStr">
        <is>
          <t>не применяется</t>
        </is>
      </c>
      <c r="C18" s="14">
        <f>'Выход'!$B$5</f>
        <v/>
      </c>
    </row>
    <row r="19">
      <c r="A19" s="10" t="inlineStr">
        <is>
          <t>Стоимость здания при продаже</t>
        </is>
      </c>
      <c r="B19" s="11" t="inlineStr">
        <is>
          <t>не применяется</t>
        </is>
      </c>
      <c r="C19" s="11">
        <f>'Выход'!$B$6</f>
        <v/>
      </c>
    </row>
    <row r="20">
      <c r="A20" s="10" t="inlineStr">
        <is>
          <t>Пик долга</t>
        </is>
      </c>
      <c r="B20" s="11">
        <f>MAX('CF_Продажа'!D24:DM24)</f>
        <v/>
      </c>
      <c r="C20" s="11">
        <f>MAX('CF_Аренда'!D30:DM30)</f>
        <v/>
      </c>
    </row>
    <row r="23">
      <c r="A23" s="15" t="inlineStr">
        <is>
          <t>По годам: поток собственника</t>
        </is>
      </c>
    </row>
    <row r="24">
      <c r="A24" s="9" t="inlineStr">
        <is>
          <t>Год</t>
        </is>
      </c>
      <c r="B24" s="9" t="inlineStr">
        <is>
          <t>Продажа блоками</t>
        </is>
      </c>
      <c r="C24" s="9" t="inlineStr">
        <is>
          <t>Аренда и продажа здания</t>
        </is>
      </c>
    </row>
    <row r="25">
      <c r="A25" t="n">
        <v>2027</v>
      </c>
      <c r="B25" s="16">
        <f>SUMPRODUCT(('СРОКИ'!$D$3:$DM$3&gt;=DATE(2027,1,1))*('СРОКИ'!$D$3:$DM$3&lt;DATE(2028,1,1))*'CF_Продажа'!$D$33:$DM$33)</f>
        <v/>
      </c>
      <c r="C25" s="16">
        <f>SUMPRODUCT(('СРОКИ'!$D$3:$DM$3&gt;=DATE(2027,1,1))*('СРОКИ'!$D$3:$DM$3&lt;DATE(2028,1,1))*'CF_Аренда'!$D$39:$DM$39)</f>
        <v/>
      </c>
    </row>
    <row r="26">
      <c r="A26" t="n">
        <v>2028</v>
      </c>
      <c r="B26" s="16">
        <f>SUMPRODUCT(('СРОКИ'!$D$3:$DM$3&gt;=DATE(2028,1,1))*('СРОКИ'!$D$3:$DM$3&lt;DATE(2029,1,1))*'CF_Продажа'!$D$33:$DM$33)</f>
        <v/>
      </c>
      <c r="C26" s="16">
        <f>SUMPRODUCT(('СРОКИ'!$D$3:$DM$3&gt;=DATE(2028,1,1))*('СРОКИ'!$D$3:$DM$3&lt;DATE(2029,1,1))*'CF_Аренда'!$D$39:$DM$39)</f>
        <v/>
      </c>
    </row>
    <row r="27">
      <c r="A27" t="n">
        <v>2029</v>
      </c>
      <c r="B27" s="16">
        <f>SUMPRODUCT(('СРОКИ'!$D$3:$DM$3&gt;=DATE(2029,1,1))*('СРОКИ'!$D$3:$DM$3&lt;DATE(2030,1,1))*'CF_Продажа'!$D$33:$DM$33)</f>
        <v/>
      </c>
      <c r="C27" s="16">
        <f>SUMPRODUCT(('СРОКИ'!$D$3:$DM$3&gt;=DATE(2029,1,1))*('СРОКИ'!$D$3:$DM$3&lt;DATE(2030,1,1))*'CF_Аренда'!$D$39:$DM$39)</f>
        <v/>
      </c>
    </row>
    <row r="28">
      <c r="A28" t="n">
        <v>2030</v>
      </c>
      <c r="B28" s="16">
        <f>SUMPRODUCT(('СРОКИ'!$D$3:$DM$3&gt;=DATE(2030,1,1))*('СРОКИ'!$D$3:$DM$3&lt;DATE(2031,1,1))*'CF_Продажа'!$D$33:$DM$33)</f>
        <v/>
      </c>
      <c r="C28" s="16">
        <f>SUMPRODUCT(('СРОКИ'!$D$3:$DM$3&gt;=DATE(2030,1,1))*('СРОКИ'!$D$3:$DM$3&lt;DATE(2031,1,1))*'CF_Аренда'!$D$39:$DM$39)</f>
        <v/>
      </c>
    </row>
    <row r="29">
      <c r="A29" t="n">
        <v>2031</v>
      </c>
      <c r="B29" s="16">
        <f>SUMPRODUCT(('СРОКИ'!$D$3:$DM$3&gt;=DATE(2031,1,1))*('СРОКИ'!$D$3:$DM$3&lt;DATE(2032,1,1))*'CF_Продажа'!$D$33:$DM$33)</f>
        <v/>
      </c>
      <c r="C29" s="16">
        <f>SUMPRODUCT(('СРОКИ'!$D$3:$DM$3&gt;=DATE(2031,1,1))*('СРОКИ'!$D$3:$DM$3&lt;DATE(2032,1,1))*'CF_Аренда'!$D$39:$DM$39)</f>
        <v/>
      </c>
    </row>
    <row r="30">
      <c r="A30" t="n">
        <v>2032</v>
      </c>
      <c r="B30" s="16">
        <f>SUMPRODUCT(('СРОКИ'!$D$3:$DM$3&gt;=DATE(2032,1,1))*('СРОКИ'!$D$3:$DM$3&lt;DATE(2033,1,1))*'CF_Продажа'!$D$33:$DM$33)</f>
        <v/>
      </c>
      <c r="C30" s="16">
        <f>SUMPRODUCT(('СРОКИ'!$D$3:$DM$3&gt;=DATE(2032,1,1))*('СРОКИ'!$D$3:$DM$3&lt;DATE(2033,1,1))*'CF_Аренда'!$D$39:$DM$39)</f>
        <v/>
      </c>
    </row>
    <row r="31">
      <c r="A31" t="n">
        <v>2033</v>
      </c>
      <c r="B31" s="16">
        <f>SUMPRODUCT(('СРОКИ'!$D$3:$DM$3&gt;=DATE(2033,1,1))*('СРОКИ'!$D$3:$DM$3&lt;DATE(2034,1,1))*'CF_Продажа'!$D$33:$DM$33)</f>
        <v/>
      </c>
      <c r="C31" s="16">
        <f>SUMPRODUCT(('СРОКИ'!$D$3:$DM$3&gt;=DATE(2033,1,1))*('СРОКИ'!$D$3:$DM$3&lt;DATE(2034,1,1))*'CF_Аренда'!$D$39:$DM$39)</f>
        <v/>
      </c>
    </row>
    <row r="32">
      <c r="A32" t="n">
        <v>2034</v>
      </c>
      <c r="B32" s="16">
        <f>SUMPRODUCT(('СРОКИ'!$D$3:$DM$3&gt;=DATE(2034,1,1))*('СРОКИ'!$D$3:$DM$3&lt;DATE(2035,1,1))*'CF_Продажа'!$D$33:$DM$33)</f>
        <v/>
      </c>
      <c r="C32" s="16">
        <f>SUMPRODUCT(('СРОКИ'!$D$3:$DM$3&gt;=DATE(2034,1,1))*('СРОКИ'!$D$3:$DM$3&lt;DATE(2035,1,1))*'CF_Аренда'!$D$39:$DM$39)</f>
        <v/>
      </c>
    </row>
    <row r="33">
      <c r="A33" t="n">
        <v>2035</v>
      </c>
      <c r="B33" s="16">
        <f>SUMPRODUCT(('СРОКИ'!$D$3:$DM$3&gt;=DATE(2035,1,1))*('СРОКИ'!$D$3:$DM$3&lt;DATE(2036,1,1))*'CF_Продажа'!$D$33:$DM$33)</f>
        <v/>
      </c>
      <c r="C33" s="16">
        <f>SUMPRODUCT(('СРОКИ'!$D$3:$DM$3&gt;=DATE(2035,1,1))*('СРОКИ'!$D$3:$DM$3&lt;DATE(2036,1,1))*'CF_Аренда'!$D$39:$DM$39)</f>
        <v/>
      </c>
    </row>
    <row r="34">
      <c r="A34" t="n">
        <v>2036</v>
      </c>
      <c r="B34" s="16">
        <f>SUMPRODUCT(('СРОКИ'!$D$3:$DM$3&gt;=DATE(2036,1,1))*('СРОКИ'!$D$3:$DM$3&lt;DATE(2037,1,1))*'CF_Продажа'!$D$33:$DM$33)</f>
        <v/>
      </c>
      <c r="C34" s="16">
        <f>SUMPRODUCT(('СРОКИ'!$D$3:$DM$3&gt;=DATE(2036,1,1))*('СРОКИ'!$D$3:$DM$3&lt;DATE(2037,1,1))*'CF_Аренда'!$D$39:$DM$39)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B1F33"/>
    <outlinePr summaryBelow="1" summaryRight="1"/>
    <pageSetUpPr fitToPage="1"/>
  </sheetPr>
  <dimension ref="A1:H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DEVELOPAID · ВВОДНЫЕ ОФИСНОГО ПРОЕКТА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Печатают только здесь: жёлтые клетки. Класс офиса задаёт допущения аренды и продажи; число в колонке «Вручную» сильнее класса.</t>
        </is>
      </c>
    </row>
    <row r="5">
      <c r="A5" s="17" t="inlineStr">
        <is>
          <t>Проект</t>
        </is>
      </c>
      <c r="B5" s="18" t="n"/>
      <c r="C5" s="18" t="n"/>
    </row>
    <row r="6">
      <c r="A6" t="inlineStr">
        <is>
          <t>Проект</t>
        </is>
      </c>
      <c r="B6" s="19" t="inlineStr">
        <is>
          <t>Москва, Пролетарский проспект, вл. 20</t>
        </is>
      </c>
      <c r="C6" s="3" t="inlineStr"/>
    </row>
    <row r="7">
      <c r="A7" t="inlineStr">
        <is>
          <t>Класс офиса</t>
        </is>
      </c>
      <c r="B7" s="19" t="inlineStr">
        <is>
          <t>B+ и A−</t>
        </is>
      </c>
      <c r="C7" s="3" t="inlineStr"/>
      <c r="D7" s="20" t="inlineStr">
        <is>
          <t>B и ниже · B+ и A− · A и выше</t>
        </is>
      </c>
    </row>
    <row r="8">
      <c r="A8" t="inlineStr">
        <is>
          <t>Начало проекта</t>
        </is>
      </c>
      <c r="B8" s="21" t="n">
        <v>46388</v>
      </c>
      <c r="C8" s="3" t="inlineStr"/>
    </row>
    <row r="9">
      <c r="A9" t="inlineStr">
        <is>
          <t>Документы до разрешения на стройку</t>
        </is>
      </c>
      <c r="B9" s="22" t="n">
        <v>18</v>
      </c>
      <c r="C9" s="3" t="inlineStr">
        <is>
          <t>мес.</t>
        </is>
      </c>
    </row>
    <row r="10">
      <c r="A10" t="inlineStr">
        <is>
          <t>Стройка</t>
        </is>
      </c>
      <c r="B10" s="22" t="n">
        <v>24</v>
      </c>
      <c r="C10" s="3" t="inlineStr">
        <is>
          <t>мес.</t>
        </is>
      </c>
    </row>
    <row r="11">
      <c r="A11" t="inlineStr">
        <is>
          <t>НДС</t>
        </is>
      </c>
      <c r="B11" s="23" t="n">
        <v>0.22</v>
      </c>
      <c r="C11" s="3" t="inlineStr"/>
    </row>
    <row r="12">
      <c r="A12" t="inlineStr">
        <is>
          <t>Ставка дисконтирования</t>
        </is>
      </c>
      <c r="B12" s="23" t="n">
        <v>0.2</v>
      </c>
      <c r="C12" s="3" t="inlineStr">
        <is>
          <t>в год</t>
        </is>
      </c>
    </row>
    <row r="14">
      <c r="A14" s="17" t="inlineStr">
        <is>
          <t>Площади (лист ТЭП)</t>
        </is>
      </c>
      <c r="B14" s="18" t="n"/>
      <c r="C14" s="18" t="n"/>
    </row>
    <row r="15">
      <c r="A15" t="inlineStr">
        <is>
          <t>Наземная площадь здания</t>
        </is>
      </c>
      <c r="B15" s="24" t="n">
        <v>22842</v>
      </c>
      <c r="C15" s="3" t="inlineStr">
        <is>
          <t>м²</t>
        </is>
      </c>
    </row>
    <row r="16">
      <c r="A16" t="inlineStr">
        <is>
          <t>Общая площадь</t>
        </is>
      </c>
      <c r="B16" s="24" t="n">
        <v>21472</v>
      </c>
      <c r="C16" s="3" t="inlineStr">
        <is>
          <t>м²</t>
        </is>
      </c>
    </row>
    <row r="17">
      <c r="A17" t="inlineStr">
        <is>
          <t>Арендопригодная = продаваемая</t>
        </is>
      </c>
      <c r="B17" s="24" t="n">
        <v>15030</v>
      </c>
      <c r="C17" s="3" t="inlineStr">
        <is>
          <t>м²</t>
        </is>
      </c>
    </row>
    <row r="18">
      <c r="A18" t="inlineStr">
        <is>
          <t>Подземный паркинг, мест</t>
        </is>
      </c>
      <c r="B18" s="24" t="n">
        <v>68</v>
      </c>
      <c r="C18" s="3" t="inlineStr">
        <is>
          <t>шт.</t>
        </is>
      </c>
    </row>
    <row r="19">
      <c r="A19" t="inlineStr">
        <is>
          <t>Гостевые места (не продаются и не сдаются)</t>
        </is>
      </c>
      <c r="B19" s="23" t="n">
        <v>0.1</v>
      </c>
      <c r="C19" s="3" t="inlineStr"/>
    </row>
    <row r="20">
      <c r="A20" t="inlineStr">
        <is>
          <t>Машино-места в продаже или аренде</t>
        </is>
      </c>
      <c r="B20" s="16">
        <f>'Вводные'!$B$18-ROUNDUP('Вводные'!$B$18*'Вводные'!$B$19,0)</f>
        <v/>
      </c>
      <c r="C20" s="3" t="inlineStr">
        <is>
          <t>шт.</t>
        </is>
      </c>
    </row>
    <row r="22">
      <c r="A22" s="17" t="inlineStr">
        <is>
          <t>Сделка</t>
        </is>
      </c>
      <c r="B22" s="18" t="n"/>
      <c r="C22" s="18" t="n"/>
    </row>
    <row r="23">
      <c r="A23" t="inlineStr">
        <is>
          <t>Цена участка</t>
        </is>
      </c>
      <c r="B23" s="25" t="n">
        <v>5</v>
      </c>
      <c r="C23" s="3" t="inlineStr">
        <is>
          <t>млн ₽</t>
        </is>
      </c>
    </row>
    <row r="24">
      <c r="A24" t="inlineStr">
        <is>
          <t>Выкуп участков и зданий у третьих лиц</t>
        </is>
      </c>
      <c r="B24" s="25" t="n">
        <v>675</v>
      </c>
      <c r="C24" s="3" t="inlineStr">
        <is>
          <t>млн ₽</t>
        </is>
      </c>
    </row>
    <row r="25">
      <c r="A25" t="inlineStr">
        <is>
          <t>Цена входа</t>
        </is>
      </c>
      <c r="B25" s="26">
        <f>'Вводные'!$B$23+'Вводные'!$B$24</f>
        <v/>
      </c>
      <c r="C25" s="3" t="inlineStr">
        <is>
          <t>млн ₽</t>
        </is>
      </c>
    </row>
    <row r="27">
      <c r="A27" s="17" t="inlineStr">
        <is>
          <t>Шкала класса офиса (стартовые допущения, Москва, с НДС)</t>
        </is>
      </c>
      <c r="B27" s="18" t="n"/>
      <c r="C27" s="18" t="n"/>
    </row>
    <row r="28">
      <c r="A28" s="9" t="inlineStr">
        <is>
          <t>Допущение</t>
        </is>
      </c>
      <c r="B28" s="9" t="inlineStr">
        <is>
          <t>B и ниже</t>
        </is>
      </c>
      <c r="C28" s="9" t="inlineStr">
        <is>
          <t>B+ и A−</t>
        </is>
      </c>
      <c r="D28" s="9" t="inlineStr">
        <is>
          <t>A и выше</t>
        </is>
      </c>
      <c r="E28" s="9" t="inlineStr">
        <is>
          <t>Вручную</t>
        </is>
      </c>
      <c r="F28" s="9" t="inlineStr">
        <is>
          <t>В расчёт</t>
        </is>
      </c>
      <c r="G28" s="9" t="inlineStr">
        <is>
          <t>Ед.</t>
        </is>
      </c>
    </row>
    <row r="29">
      <c r="A29" t="inlineStr">
        <is>
          <t>Стоимость стройки здания</t>
        </is>
      </c>
      <c r="B29" s="16" t="n">
        <v>175</v>
      </c>
      <c r="C29" s="16" t="n">
        <v>200</v>
      </c>
      <c r="D29" s="16" t="n">
        <v>225</v>
      </c>
      <c r="E29" s="24" t="n">
        <v>110</v>
      </c>
      <c r="F29" s="27">
        <f>IF(E29&lt;&gt;"",E29,INDEX(B29:D29,1,MATCH($B$7,$B$28:$D$28,0)))</f>
        <v/>
      </c>
      <c r="G29" s="3" t="inlineStr">
        <is>
          <t>тыс. ₽/м² наземной</t>
        </is>
      </c>
    </row>
    <row r="30">
      <c r="A30" t="inlineStr">
        <is>
          <t>Стартовая цена продажи</t>
        </is>
      </c>
      <c r="B30" s="16" t="n">
        <v>230</v>
      </c>
      <c r="C30" s="16" t="n">
        <v>300</v>
      </c>
      <c r="D30" s="16" t="n">
        <v>420</v>
      </c>
      <c r="E30" s="24" t="n">
        <v>273</v>
      </c>
      <c r="F30" s="27">
        <f>IF(E30&lt;&gt;"",E30,INDEX(B30:D30,1,MATCH($B$7,$B$28:$D$28,0)))</f>
        <v/>
      </c>
      <c r="G30" s="3" t="inlineStr">
        <is>
          <t>тыс. ₽/м²</t>
        </is>
      </c>
    </row>
    <row r="31">
      <c r="A31" t="inlineStr">
        <is>
          <t>Ставка аренды</t>
        </is>
      </c>
      <c r="B31" s="16" t="n">
        <v>24</v>
      </c>
      <c r="C31" s="16" t="n">
        <v>30</v>
      </c>
      <c r="D31" s="16" t="n">
        <v>42</v>
      </c>
      <c r="E31" s="24" t="n"/>
      <c r="F31" s="27">
        <f>IF(E31&lt;&gt;"",E31,INDEX(B31:D31,1,MATCH($B$7,$B$28:$D$28,0)))</f>
        <v/>
      </c>
      <c r="G31" s="3" t="inlineStr">
        <is>
          <t>тыс. ₽/м² в год</t>
        </is>
      </c>
    </row>
    <row r="32">
      <c r="A32" t="inlineStr">
        <is>
          <t>Заполняемость после заполнения</t>
        </is>
      </c>
      <c r="B32" s="28" t="n">
        <v>0.9</v>
      </c>
      <c r="C32" s="28" t="n">
        <v>0.92</v>
      </c>
      <c r="D32" s="28" t="n">
        <v>0.9399999999999999</v>
      </c>
      <c r="E32" s="23" t="n"/>
      <c r="F32" s="29">
        <f>IF(E32&lt;&gt;"",E32,INDEX(B32:D32,1,MATCH($B$7,$B$28:$D$28,0)))</f>
        <v/>
      </c>
      <c r="G32" s="3" t="inlineStr"/>
    </row>
    <row r="33">
      <c r="A33" t="inlineStr">
        <is>
          <t>Срок заполнения</t>
        </is>
      </c>
      <c r="B33" s="30" t="n">
        <v>18</v>
      </c>
      <c r="C33" s="30" t="n">
        <v>15</v>
      </c>
      <c r="D33" s="30" t="n">
        <v>12</v>
      </c>
      <c r="E33" s="22" t="n">
        <v>18</v>
      </c>
      <c r="F33" s="31">
        <f>IF(E33&lt;&gt;"",E33,INDEX(B33:D33,1,MATCH($B$7,$B$28:$D$28,0)))</f>
        <v/>
      </c>
      <c r="G33" s="3" t="inlineStr">
        <is>
          <t>мес.</t>
        </is>
      </c>
    </row>
    <row r="34">
      <c r="A34" t="inlineStr">
        <is>
          <t>Расходы эксплуатации, доля дохода</t>
        </is>
      </c>
      <c r="B34" s="28" t="n">
        <v>0.2</v>
      </c>
      <c r="C34" s="28" t="n">
        <v>0.18</v>
      </c>
      <c r="D34" s="28" t="n">
        <v>0.16</v>
      </c>
      <c r="E34" s="23" t="n"/>
      <c r="F34" s="29">
        <f>IF(E34&lt;&gt;"",E34,INDEX(B34:D34,1,MATCH($B$7,$B$28:$D$28,0)))</f>
        <v/>
      </c>
      <c r="G34" s="3" t="inlineStr"/>
    </row>
    <row r="35">
      <c r="A35" t="inlineStr">
        <is>
          <t>Ставка капитализации при продаже здания</t>
        </is>
      </c>
      <c r="B35" s="28" t="n">
        <v>0.115</v>
      </c>
      <c r="C35" s="28" t="n">
        <v>0.105</v>
      </c>
      <c r="D35" s="28" t="n">
        <v>0.095</v>
      </c>
      <c r="E35" s="23" t="n"/>
      <c r="F35" s="29">
        <f>IF(E35&lt;&gt;"",E35,INDEX(B35:D35,1,MATCH($B$7,$B$28:$D$28,0)))</f>
        <v/>
      </c>
      <c r="G35" s="3" t="inlineStr"/>
    </row>
    <row r="37">
      <c r="A37" s="20" t="inlineStr">
        <is>
          <t>Клетка «Вручную» заполнена — класс для этой строки не действует. В образце стоимость стройки и цена продажи заданы вручную по присланному отчёту.</t>
        </is>
      </c>
    </row>
    <row r="39">
      <c r="A39" s="17" t="inlineStr">
        <is>
          <t>Путь 1. Продажа блоками</t>
        </is>
      </c>
      <c r="B39" s="18" t="n"/>
      <c r="C39" s="18" t="n"/>
    </row>
    <row r="40">
      <c r="A40" t="inlineStr">
        <is>
          <t>Рост цены до ввода</t>
        </is>
      </c>
      <c r="B40" s="23" t="n">
        <v>0.015</v>
      </c>
      <c r="C40" s="3" t="inlineStr">
        <is>
          <t>в месяц</t>
        </is>
      </c>
    </row>
    <row r="41">
      <c r="A41" t="inlineStr">
        <is>
          <t>Рост цены после ввода</t>
        </is>
      </c>
      <c r="B41" s="32" t="n">
        <v>0.0025</v>
      </c>
      <c r="C41" s="3" t="inlineStr">
        <is>
          <t>в месяц</t>
        </is>
      </c>
    </row>
    <row r="42">
      <c r="A42" t="inlineStr">
        <is>
          <t>Срок продаж после ввода</t>
        </is>
      </c>
      <c r="B42" s="22" t="n">
        <v>12</v>
      </c>
      <c r="C42" s="3" t="inlineStr">
        <is>
          <t>мес.</t>
        </is>
      </c>
    </row>
    <row r="43">
      <c r="A43" t="inlineStr">
        <is>
          <t>Маркетинг и брокеры</t>
        </is>
      </c>
      <c r="B43" s="23" t="n">
        <v>0.07000000000000001</v>
      </c>
      <c r="C43" s="3" t="inlineStr">
        <is>
          <t>доля выручки</t>
        </is>
      </c>
    </row>
    <row r="44">
      <c r="A44" t="inlineStr">
        <is>
          <t>Цена машино-места</t>
        </is>
      </c>
      <c r="B44" s="25" t="n">
        <v>1.5</v>
      </c>
      <c r="C44" s="3" t="inlineStr">
        <is>
          <t>млн ₽</t>
        </is>
      </c>
    </row>
    <row r="46">
      <c r="A46" s="17" t="inlineStr">
        <is>
          <t>Путь 2. Аренда и продажа здания</t>
        </is>
      </c>
      <c r="B46" s="18" t="n"/>
      <c r="C46" s="18" t="n"/>
    </row>
    <row r="47">
      <c r="A47" t="inlineStr">
        <is>
          <t>Заполняемость на открытии</t>
        </is>
      </c>
      <c r="B47" s="23" t="n">
        <v>0.55</v>
      </c>
      <c r="C47" s="3" t="inlineStr"/>
    </row>
    <row r="48">
      <c r="A48" t="inlineStr">
        <is>
          <t>Индексация аренды</t>
        </is>
      </c>
      <c r="B48" s="23" t="n">
        <v>0.05</v>
      </c>
      <c r="C48" s="3" t="inlineStr">
        <is>
          <t>в год</t>
        </is>
      </c>
    </row>
    <row r="49">
      <c r="A49" t="inlineStr">
        <is>
          <t>Аренда машино-места</t>
        </is>
      </c>
      <c r="B49" s="25" t="n">
        <v>8</v>
      </c>
      <c r="C49" s="3" t="inlineStr">
        <is>
          <t>тыс. ₽ в месяц</t>
        </is>
      </c>
    </row>
    <row r="50">
      <c r="A50" t="inlineStr">
        <is>
          <t>Срок удержания</t>
        </is>
      </c>
      <c r="B50" s="22" t="n">
        <v>5</v>
      </c>
      <c r="C50" s="3" t="inlineStr">
        <is>
          <t>лет</t>
        </is>
      </c>
    </row>
    <row r="51">
      <c r="A51" t="inlineStr">
        <is>
          <t>Расходы на сделку при продаже здания</t>
        </is>
      </c>
      <c r="B51" s="23" t="n">
        <v>0.01</v>
      </c>
      <c r="C51" s="3" t="inlineStr"/>
    </row>
    <row r="52">
      <c r="A52" t="inlineStr">
        <is>
          <t>Налог на имущество</t>
        </is>
      </c>
      <c r="B52" s="23" t="n">
        <v>0.022</v>
      </c>
      <c r="C52" s="3" t="inlineStr">
        <is>
          <t>в год от стоимости без НДС</t>
        </is>
      </c>
    </row>
    <row r="54">
      <c r="A54" s="17" t="inlineStr">
        <is>
          <t>Кредит</t>
        </is>
      </c>
      <c r="B54" s="18" t="n"/>
      <c r="C54" s="18" t="n"/>
    </row>
    <row r="55">
      <c r="A55" t="inlineStr">
        <is>
          <t>Доля кредита в затратах</t>
        </is>
      </c>
      <c r="B55" s="23" t="n">
        <v>0.6</v>
      </c>
      <c r="C55" s="3" t="inlineStr"/>
    </row>
    <row r="56">
      <c r="A56" t="inlineStr">
        <is>
          <t>Надбавка к ключевой ставке</t>
        </is>
      </c>
      <c r="B56" s="23" t="n">
        <v>0.04</v>
      </c>
      <c r="C56" s="3" t="inlineStr"/>
    </row>
    <row r="57">
      <c r="A57" t="inlineStr">
        <is>
          <t>Комиссия за выдачу</t>
        </is>
      </c>
      <c r="B57" s="23" t="n">
        <v>0.01</v>
      </c>
      <c r="C57" s="3" t="inlineStr">
        <is>
          <t>от выдачи</t>
        </is>
      </c>
    </row>
    <row r="58">
      <c r="A58" t="inlineStr">
        <is>
          <t>Плата за резервирование лимита</t>
        </is>
      </c>
      <c r="B58" s="32" t="n">
        <v>0.001</v>
      </c>
      <c r="C58" s="3" t="inlineStr">
        <is>
          <t>от лимита</t>
        </is>
      </c>
    </row>
    <row r="59">
      <c r="A59" t="inlineStr">
        <is>
          <t>Плата за невыбранный лимит</t>
        </is>
      </c>
      <c r="B59" s="32" t="n">
        <v>0.007</v>
      </c>
      <c r="C59" s="3" t="inlineStr">
        <is>
          <t>в год</t>
        </is>
      </c>
    </row>
    <row r="60">
      <c r="A60" t="inlineStr">
        <is>
          <t>Срок кредита при аренде</t>
        </is>
      </c>
      <c r="B60" s="22" t="n">
        <v>10</v>
      </c>
      <c r="C60" s="3" t="inlineStr">
        <is>
          <t>лет</t>
        </is>
      </c>
    </row>
    <row r="61">
      <c r="A61" t="inlineStr">
        <is>
          <t>Остаток долга к сроку (баллон)</t>
        </is>
      </c>
      <c r="B61" s="23" t="n">
        <v>0.2</v>
      </c>
      <c r="C61" s="3" t="inlineStr">
        <is>
          <t>доля долга на ввод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ИНСТРУКЦИЯ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Как устроена книга.</t>
        </is>
      </c>
    </row>
    <row r="4">
      <c r="A4" s="33" t="inlineStr">
        <is>
          <t>Дашборд</t>
        </is>
      </c>
      <c r="B4" t="inlineStr">
        <is>
          <t>Главные числа обоих путей и вывод.</t>
        </is>
      </c>
    </row>
    <row r="5">
      <c r="A5" s="33" t="inlineStr">
        <is>
          <t>ОТЧЕТ</t>
        </is>
      </c>
      <c r="B5" t="inlineStr">
        <is>
          <t>Два пути рядом и поток собственника по годам. Только ссылки.</t>
        </is>
      </c>
    </row>
    <row r="6">
      <c r="A6" s="33" t="inlineStr">
        <is>
          <t>Вводные</t>
        </is>
      </c>
      <c r="B6" t="inlineStr">
        <is>
          <t>Единственное место правки: жёлтые клетки. Класс офиса задаёт шкалу; «Вручную» сильнее класса.</t>
        </is>
      </c>
    </row>
    <row r="7">
      <c r="A7" s="33" t="inlineStr">
        <is>
          <t>СРОКИ</t>
        </is>
      </c>
      <c r="B7" t="inlineStr">
        <is>
          <t>Номер месяца, разрешение, ввод, окна продаж и аренды.</t>
        </is>
      </c>
    </row>
    <row r="8">
      <c r="A8" s="33" t="inlineStr">
        <is>
          <t>CAPEX</t>
        </is>
      </c>
      <c r="B8" t="inlineStr">
        <is>
          <t>График затрат на создание.</t>
        </is>
      </c>
    </row>
    <row r="9">
      <c r="A9" s="33" t="inlineStr">
        <is>
          <t>Ставки</t>
        </is>
      </c>
      <c r="B9" t="inlineStr">
        <is>
          <t>Ключевая ставка и ставка кредита по месяцам.</t>
        </is>
      </c>
    </row>
    <row r="10">
      <c r="A10" s="33" t="inlineStr">
        <is>
          <t>Продажа</t>
        </is>
      </c>
      <c r="B10" t="inlineStr">
        <is>
          <t>Путь 1: цена, продажи, маркетинг, налог на имущество.</t>
        </is>
      </c>
    </row>
    <row r="11">
      <c r="A11" s="33" t="inlineStr">
        <is>
          <t>Аренда</t>
        </is>
      </c>
      <c r="B11" t="inlineStr">
        <is>
          <t>Путь 2: заполнение, индексация, доход, эксплуатация, NOI, продажа здания.</t>
        </is>
      </c>
    </row>
    <row r="12">
      <c r="A12" s="33" t="inlineStr">
        <is>
          <t>Выход</t>
        </is>
      </c>
      <c r="B12" t="inlineStr">
        <is>
          <t>Стоимость здания по ставке капитализации, доходность на затраты.</t>
        </is>
      </c>
    </row>
    <row r="13">
      <c r="A13" s="33" t="inlineStr">
        <is>
          <t>CF_Продажа, CF_Аренда</t>
        </is>
      </c>
      <c r="B13" t="inlineStr">
        <is>
          <t>НДС, кредит двумя линиями, комиссии, поток собственника и проекта, NPV и IRR.</t>
        </is>
      </c>
    </row>
    <row r="14">
      <c r="A14" s="33" t="inlineStr">
        <is>
          <t>ПРОВЕРКИ</t>
        </is>
      </c>
      <c r="B14" t="inlineStr">
        <is>
          <t>Каждый итог книги против расчёта движка.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0"/>
  </sheetPr>
  <dimension ref="A1:DN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</cols>
  <sheetData>
    <row r="1">
      <c r="A1" s="1" t="inlineStr">
        <is>
          <t>СРОКИ · КАЛЕНДАРЬ ПРОЕКТА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</row>
    <row r="2">
      <c r="A2" s="3" t="inlineStr">
        <is>
          <t>Номер месяца, этапы и окна продаж и аренды.</t>
        </is>
      </c>
    </row>
    <row r="3">
      <c r="A3" s="9" t="inlineStr">
        <is>
          <t>Показатель</t>
        </is>
      </c>
      <c r="B3" s="9" t="inlineStr">
        <is>
          <t>Итого / вводная</t>
        </is>
      </c>
      <c r="C3" s="9" t="inlineStr">
        <is>
          <t>Ед.</t>
        </is>
      </c>
      <c r="D3" s="34">
        <f>DATE(2027,1,1)</f>
        <v/>
      </c>
      <c r="E3" s="34">
        <f>EDATE(D3,1)</f>
        <v/>
      </c>
      <c r="F3" s="34">
        <f>EDATE(E3,1)</f>
        <v/>
      </c>
      <c r="G3" s="34">
        <f>EDATE(F3,1)</f>
        <v/>
      </c>
      <c r="H3" s="34">
        <f>EDATE(G3,1)</f>
        <v/>
      </c>
      <c r="I3" s="34">
        <f>EDATE(H3,1)</f>
        <v/>
      </c>
      <c r="J3" s="34">
        <f>EDATE(I3,1)</f>
        <v/>
      </c>
      <c r="K3" s="34">
        <f>EDATE(J3,1)</f>
        <v/>
      </c>
      <c r="L3" s="34">
        <f>EDATE(K3,1)</f>
        <v/>
      </c>
      <c r="M3" s="34">
        <f>EDATE(L3,1)</f>
        <v/>
      </c>
      <c r="N3" s="34">
        <f>EDATE(M3,1)</f>
        <v/>
      </c>
      <c r="O3" s="34">
        <f>EDATE(N3,1)</f>
        <v/>
      </c>
      <c r="P3" s="34">
        <f>EDATE(O3,1)</f>
        <v/>
      </c>
      <c r="Q3" s="34">
        <f>EDATE(P3,1)</f>
        <v/>
      </c>
      <c r="R3" s="34">
        <f>EDATE(Q3,1)</f>
        <v/>
      </c>
      <c r="S3" s="34">
        <f>EDATE(R3,1)</f>
        <v/>
      </c>
      <c r="T3" s="34">
        <f>EDATE(S3,1)</f>
        <v/>
      </c>
      <c r="U3" s="34">
        <f>EDATE(T3,1)</f>
        <v/>
      </c>
      <c r="V3" s="34">
        <f>EDATE(U3,1)</f>
        <v/>
      </c>
      <c r="W3" s="34">
        <f>EDATE(V3,1)</f>
        <v/>
      </c>
      <c r="X3" s="34">
        <f>EDATE(W3,1)</f>
        <v/>
      </c>
      <c r="Y3" s="34">
        <f>EDATE(X3,1)</f>
        <v/>
      </c>
      <c r="Z3" s="34">
        <f>EDATE(Y3,1)</f>
        <v/>
      </c>
      <c r="AA3" s="34">
        <f>EDATE(Z3,1)</f>
        <v/>
      </c>
      <c r="AB3" s="34">
        <f>EDATE(AA3,1)</f>
        <v/>
      </c>
      <c r="AC3" s="34">
        <f>EDATE(AB3,1)</f>
        <v/>
      </c>
      <c r="AD3" s="34">
        <f>EDATE(AC3,1)</f>
        <v/>
      </c>
      <c r="AE3" s="34">
        <f>EDATE(AD3,1)</f>
        <v/>
      </c>
      <c r="AF3" s="34">
        <f>EDATE(AE3,1)</f>
        <v/>
      </c>
      <c r="AG3" s="34">
        <f>EDATE(AF3,1)</f>
        <v/>
      </c>
      <c r="AH3" s="34">
        <f>EDATE(AG3,1)</f>
        <v/>
      </c>
      <c r="AI3" s="34">
        <f>EDATE(AH3,1)</f>
        <v/>
      </c>
      <c r="AJ3" s="34">
        <f>EDATE(AI3,1)</f>
        <v/>
      </c>
      <c r="AK3" s="34">
        <f>EDATE(AJ3,1)</f>
        <v/>
      </c>
      <c r="AL3" s="34">
        <f>EDATE(AK3,1)</f>
        <v/>
      </c>
      <c r="AM3" s="34">
        <f>EDATE(AL3,1)</f>
        <v/>
      </c>
      <c r="AN3" s="34">
        <f>EDATE(AM3,1)</f>
        <v/>
      </c>
      <c r="AO3" s="34">
        <f>EDATE(AN3,1)</f>
        <v/>
      </c>
      <c r="AP3" s="34">
        <f>EDATE(AO3,1)</f>
        <v/>
      </c>
      <c r="AQ3" s="34">
        <f>EDATE(AP3,1)</f>
        <v/>
      </c>
      <c r="AR3" s="34">
        <f>EDATE(AQ3,1)</f>
        <v/>
      </c>
      <c r="AS3" s="34">
        <f>EDATE(AR3,1)</f>
        <v/>
      </c>
      <c r="AT3" s="34">
        <f>EDATE(AS3,1)</f>
        <v/>
      </c>
      <c r="AU3" s="34">
        <f>EDATE(AT3,1)</f>
        <v/>
      </c>
      <c r="AV3" s="34">
        <f>EDATE(AU3,1)</f>
        <v/>
      </c>
      <c r="AW3" s="34">
        <f>EDATE(AV3,1)</f>
        <v/>
      </c>
      <c r="AX3" s="34">
        <f>EDATE(AW3,1)</f>
        <v/>
      </c>
      <c r="AY3" s="34">
        <f>EDATE(AX3,1)</f>
        <v/>
      </c>
      <c r="AZ3" s="34">
        <f>EDATE(AY3,1)</f>
        <v/>
      </c>
      <c r="BA3" s="34">
        <f>EDATE(AZ3,1)</f>
        <v/>
      </c>
      <c r="BB3" s="34">
        <f>EDATE(BA3,1)</f>
        <v/>
      </c>
      <c r="BC3" s="34">
        <f>EDATE(BB3,1)</f>
        <v/>
      </c>
      <c r="BD3" s="34">
        <f>EDATE(BC3,1)</f>
        <v/>
      </c>
      <c r="BE3" s="34">
        <f>EDATE(BD3,1)</f>
        <v/>
      </c>
      <c r="BF3" s="34">
        <f>EDATE(BE3,1)</f>
        <v/>
      </c>
      <c r="BG3" s="34">
        <f>EDATE(BF3,1)</f>
        <v/>
      </c>
      <c r="BH3" s="34">
        <f>EDATE(BG3,1)</f>
        <v/>
      </c>
      <c r="BI3" s="34">
        <f>EDATE(BH3,1)</f>
        <v/>
      </c>
      <c r="BJ3" s="34">
        <f>EDATE(BI3,1)</f>
        <v/>
      </c>
      <c r="BK3" s="34">
        <f>EDATE(BJ3,1)</f>
        <v/>
      </c>
      <c r="BL3" s="34">
        <f>EDATE(BK3,1)</f>
        <v/>
      </c>
      <c r="BM3" s="34">
        <f>EDATE(BL3,1)</f>
        <v/>
      </c>
      <c r="BN3" s="34">
        <f>EDATE(BM3,1)</f>
        <v/>
      </c>
      <c r="BO3" s="34">
        <f>EDATE(BN3,1)</f>
        <v/>
      </c>
      <c r="BP3" s="34">
        <f>EDATE(BO3,1)</f>
        <v/>
      </c>
      <c r="BQ3" s="34">
        <f>EDATE(BP3,1)</f>
        <v/>
      </c>
      <c r="BR3" s="34">
        <f>EDATE(BQ3,1)</f>
        <v/>
      </c>
      <c r="BS3" s="34">
        <f>EDATE(BR3,1)</f>
        <v/>
      </c>
      <c r="BT3" s="34">
        <f>EDATE(BS3,1)</f>
        <v/>
      </c>
      <c r="BU3" s="34">
        <f>EDATE(BT3,1)</f>
        <v/>
      </c>
      <c r="BV3" s="34">
        <f>EDATE(BU3,1)</f>
        <v/>
      </c>
      <c r="BW3" s="34">
        <f>EDATE(BV3,1)</f>
        <v/>
      </c>
      <c r="BX3" s="34">
        <f>EDATE(BW3,1)</f>
        <v/>
      </c>
      <c r="BY3" s="34">
        <f>EDATE(BX3,1)</f>
        <v/>
      </c>
      <c r="BZ3" s="34">
        <f>EDATE(BY3,1)</f>
        <v/>
      </c>
      <c r="CA3" s="34">
        <f>EDATE(BZ3,1)</f>
        <v/>
      </c>
      <c r="CB3" s="34">
        <f>EDATE(CA3,1)</f>
        <v/>
      </c>
      <c r="CC3" s="34">
        <f>EDATE(CB3,1)</f>
        <v/>
      </c>
      <c r="CD3" s="34">
        <f>EDATE(CC3,1)</f>
        <v/>
      </c>
      <c r="CE3" s="34">
        <f>EDATE(CD3,1)</f>
        <v/>
      </c>
      <c r="CF3" s="34">
        <f>EDATE(CE3,1)</f>
        <v/>
      </c>
      <c r="CG3" s="34">
        <f>EDATE(CF3,1)</f>
        <v/>
      </c>
      <c r="CH3" s="34">
        <f>EDATE(CG3,1)</f>
        <v/>
      </c>
      <c r="CI3" s="34">
        <f>EDATE(CH3,1)</f>
        <v/>
      </c>
      <c r="CJ3" s="34">
        <f>EDATE(CI3,1)</f>
        <v/>
      </c>
      <c r="CK3" s="34">
        <f>EDATE(CJ3,1)</f>
        <v/>
      </c>
      <c r="CL3" s="34">
        <f>EDATE(CK3,1)</f>
        <v/>
      </c>
      <c r="CM3" s="34">
        <f>EDATE(CL3,1)</f>
        <v/>
      </c>
      <c r="CN3" s="34">
        <f>EDATE(CM3,1)</f>
        <v/>
      </c>
      <c r="CO3" s="34">
        <f>EDATE(CN3,1)</f>
        <v/>
      </c>
      <c r="CP3" s="34">
        <f>EDATE(CO3,1)</f>
        <v/>
      </c>
      <c r="CQ3" s="34">
        <f>EDATE(CP3,1)</f>
        <v/>
      </c>
      <c r="CR3" s="34">
        <f>EDATE(CQ3,1)</f>
        <v/>
      </c>
      <c r="CS3" s="34">
        <f>EDATE(CR3,1)</f>
        <v/>
      </c>
      <c r="CT3" s="34">
        <f>EDATE(CS3,1)</f>
        <v/>
      </c>
      <c r="CU3" s="34">
        <f>EDATE(CT3,1)</f>
        <v/>
      </c>
      <c r="CV3" s="34">
        <f>EDATE(CU3,1)</f>
        <v/>
      </c>
      <c r="CW3" s="34">
        <f>EDATE(CV3,1)</f>
        <v/>
      </c>
      <c r="CX3" s="34">
        <f>EDATE(CW3,1)</f>
        <v/>
      </c>
      <c r="CY3" s="34">
        <f>EDATE(CX3,1)</f>
        <v/>
      </c>
      <c r="CZ3" s="34">
        <f>EDATE(CY3,1)</f>
        <v/>
      </c>
      <c r="DA3" s="34">
        <f>EDATE(CZ3,1)</f>
        <v/>
      </c>
      <c r="DB3" s="34">
        <f>EDATE(DA3,1)</f>
        <v/>
      </c>
      <c r="DC3" s="34">
        <f>EDATE(DB3,1)</f>
        <v/>
      </c>
      <c r="DD3" s="34">
        <f>EDATE(DC3,1)</f>
        <v/>
      </c>
      <c r="DE3" s="34">
        <f>EDATE(DD3,1)</f>
        <v/>
      </c>
      <c r="DF3" s="34">
        <f>EDATE(DE3,1)</f>
        <v/>
      </c>
      <c r="DG3" s="34">
        <f>EDATE(DF3,1)</f>
        <v/>
      </c>
      <c r="DH3" s="34">
        <f>EDATE(DG3,1)</f>
        <v/>
      </c>
      <c r="DI3" s="34">
        <f>EDATE(DH3,1)</f>
        <v/>
      </c>
      <c r="DJ3" s="34">
        <f>EDATE(DI3,1)</f>
        <v/>
      </c>
      <c r="DK3" s="34">
        <f>EDATE(DJ3,1)</f>
        <v/>
      </c>
      <c r="DL3" s="34">
        <f>EDATE(DK3,1)</f>
        <v/>
      </c>
      <c r="DM3" s="34">
        <f>EDATE(DL3,1)</f>
        <v/>
      </c>
    </row>
    <row r="4">
      <c r="A4" t="inlineStr">
        <is>
          <t>Период</t>
        </is>
      </c>
      <c r="C4" t="inlineStr">
        <is>
          <t>№</t>
        </is>
      </c>
      <c r="D4" s="35" t="n">
        <v>0</v>
      </c>
      <c r="E4" s="35" t="n">
        <v>1</v>
      </c>
      <c r="F4" s="35" t="n">
        <v>2</v>
      </c>
      <c r="G4" s="35" t="n">
        <v>3</v>
      </c>
      <c r="H4" s="35" t="n">
        <v>4</v>
      </c>
      <c r="I4" s="35" t="n">
        <v>5</v>
      </c>
      <c r="J4" s="35" t="n">
        <v>6</v>
      </c>
      <c r="K4" s="35" t="n">
        <v>7</v>
      </c>
      <c r="L4" s="35" t="n">
        <v>8</v>
      </c>
      <c r="M4" s="35" t="n">
        <v>9</v>
      </c>
      <c r="N4" s="35" t="n">
        <v>10</v>
      </c>
      <c r="O4" s="35" t="n">
        <v>11</v>
      </c>
      <c r="P4" s="35" t="n">
        <v>12</v>
      </c>
      <c r="Q4" s="35" t="n">
        <v>13</v>
      </c>
      <c r="R4" s="35" t="n">
        <v>14</v>
      </c>
      <c r="S4" s="35" t="n">
        <v>15</v>
      </c>
      <c r="T4" s="35" t="n">
        <v>16</v>
      </c>
      <c r="U4" s="35" t="n">
        <v>17</v>
      </c>
      <c r="V4" s="35" t="n">
        <v>18</v>
      </c>
      <c r="W4" s="35" t="n">
        <v>19</v>
      </c>
      <c r="X4" s="35" t="n">
        <v>20</v>
      </c>
      <c r="Y4" s="35" t="n">
        <v>21</v>
      </c>
      <c r="Z4" s="35" t="n">
        <v>22</v>
      </c>
      <c r="AA4" s="35" t="n">
        <v>23</v>
      </c>
      <c r="AB4" s="35" t="n">
        <v>24</v>
      </c>
      <c r="AC4" s="35" t="n">
        <v>25</v>
      </c>
      <c r="AD4" s="35" t="n">
        <v>26</v>
      </c>
      <c r="AE4" s="35" t="n">
        <v>27</v>
      </c>
      <c r="AF4" s="35" t="n">
        <v>28</v>
      </c>
      <c r="AG4" s="35" t="n">
        <v>29</v>
      </c>
      <c r="AH4" s="35" t="n">
        <v>30</v>
      </c>
      <c r="AI4" s="35" t="n">
        <v>31</v>
      </c>
      <c r="AJ4" s="35" t="n">
        <v>32</v>
      </c>
      <c r="AK4" s="35" t="n">
        <v>33</v>
      </c>
      <c r="AL4" s="35" t="n">
        <v>34</v>
      </c>
      <c r="AM4" s="35" t="n">
        <v>35</v>
      </c>
      <c r="AN4" s="35" t="n">
        <v>36</v>
      </c>
      <c r="AO4" s="35" t="n">
        <v>37</v>
      </c>
      <c r="AP4" s="35" t="n">
        <v>38</v>
      </c>
      <c r="AQ4" s="35" t="n">
        <v>39</v>
      </c>
      <c r="AR4" s="35" t="n">
        <v>40</v>
      </c>
      <c r="AS4" s="35" t="n">
        <v>41</v>
      </c>
      <c r="AT4" s="35" t="n">
        <v>42</v>
      </c>
      <c r="AU4" s="35" t="n">
        <v>43</v>
      </c>
      <c r="AV4" s="35" t="n">
        <v>44</v>
      </c>
      <c r="AW4" s="35" t="n">
        <v>45</v>
      </c>
      <c r="AX4" s="35" t="n">
        <v>46</v>
      </c>
      <c r="AY4" s="35" t="n">
        <v>47</v>
      </c>
      <c r="AZ4" s="35" t="n">
        <v>48</v>
      </c>
      <c r="BA4" s="35" t="n">
        <v>49</v>
      </c>
      <c r="BB4" s="35" t="n">
        <v>50</v>
      </c>
      <c r="BC4" s="35" t="n">
        <v>51</v>
      </c>
      <c r="BD4" s="35" t="n">
        <v>52</v>
      </c>
      <c r="BE4" s="35" t="n">
        <v>53</v>
      </c>
      <c r="BF4" s="35" t="n">
        <v>54</v>
      </c>
      <c r="BG4" s="35" t="n">
        <v>55</v>
      </c>
      <c r="BH4" s="35" t="n">
        <v>56</v>
      </c>
      <c r="BI4" s="35" t="n">
        <v>57</v>
      </c>
      <c r="BJ4" s="35" t="n">
        <v>58</v>
      </c>
      <c r="BK4" s="35" t="n">
        <v>59</v>
      </c>
      <c r="BL4" s="35" t="n">
        <v>60</v>
      </c>
      <c r="BM4" s="35" t="n">
        <v>61</v>
      </c>
      <c r="BN4" s="35" t="n">
        <v>62</v>
      </c>
      <c r="BO4" s="35" t="n">
        <v>63</v>
      </c>
      <c r="BP4" s="35" t="n">
        <v>64</v>
      </c>
      <c r="BQ4" s="35" t="n">
        <v>65</v>
      </c>
      <c r="BR4" s="35" t="n">
        <v>66</v>
      </c>
      <c r="BS4" s="35" t="n">
        <v>67</v>
      </c>
      <c r="BT4" s="35" t="n">
        <v>68</v>
      </c>
      <c r="BU4" s="35" t="n">
        <v>69</v>
      </c>
      <c r="BV4" s="35" t="n">
        <v>70</v>
      </c>
      <c r="BW4" s="35" t="n">
        <v>71</v>
      </c>
      <c r="BX4" s="35" t="n">
        <v>72</v>
      </c>
      <c r="BY4" s="35" t="n">
        <v>73</v>
      </c>
      <c r="BZ4" s="35" t="n">
        <v>74</v>
      </c>
      <c r="CA4" s="35" t="n">
        <v>75</v>
      </c>
      <c r="CB4" s="35" t="n">
        <v>76</v>
      </c>
      <c r="CC4" s="35" t="n">
        <v>77</v>
      </c>
      <c r="CD4" s="35" t="n">
        <v>78</v>
      </c>
      <c r="CE4" s="35" t="n">
        <v>79</v>
      </c>
      <c r="CF4" s="35" t="n">
        <v>80</v>
      </c>
      <c r="CG4" s="35" t="n">
        <v>81</v>
      </c>
      <c r="CH4" s="35" t="n">
        <v>82</v>
      </c>
      <c r="CI4" s="35" t="n">
        <v>83</v>
      </c>
      <c r="CJ4" s="35" t="n">
        <v>84</v>
      </c>
      <c r="CK4" s="35" t="n">
        <v>85</v>
      </c>
      <c r="CL4" s="35" t="n">
        <v>86</v>
      </c>
      <c r="CM4" s="35" t="n">
        <v>87</v>
      </c>
      <c r="CN4" s="35" t="n">
        <v>88</v>
      </c>
      <c r="CO4" s="35" t="n">
        <v>89</v>
      </c>
      <c r="CP4" s="35" t="n">
        <v>90</v>
      </c>
      <c r="CQ4" s="35" t="n">
        <v>91</v>
      </c>
      <c r="CR4" s="35" t="n">
        <v>92</v>
      </c>
      <c r="CS4" s="35" t="n">
        <v>93</v>
      </c>
      <c r="CT4" s="35" t="n">
        <v>94</v>
      </c>
      <c r="CU4" s="35" t="n">
        <v>95</v>
      </c>
      <c r="CV4" s="35" t="n">
        <v>96</v>
      </c>
      <c r="CW4" s="35" t="n">
        <v>97</v>
      </c>
      <c r="CX4" s="35" t="n">
        <v>98</v>
      </c>
      <c r="CY4" s="35" t="n">
        <v>99</v>
      </c>
      <c r="CZ4" s="35" t="n">
        <v>100</v>
      </c>
      <c r="DA4" s="35" t="n">
        <v>101</v>
      </c>
      <c r="DB4" s="35" t="n">
        <v>102</v>
      </c>
      <c r="DC4" s="35" t="n">
        <v>103</v>
      </c>
      <c r="DD4" s="35" t="n">
        <v>104</v>
      </c>
      <c r="DE4" s="35" t="n">
        <v>105</v>
      </c>
      <c r="DF4" s="35" t="n">
        <v>106</v>
      </c>
      <c r="DG4" s="35" t="n">
        <v>107</v>
      </c>
      <c r="DH4" s="35" t="n">
        <v>108</v>
      </c>
      <c r="DI4" s="35" t="n">
        <v>109</v>
      </c>
      <c r="DJ4" s="35" t="n">
        <v>110</v>
      </c>
      <c r="DK4" s="35" t="n">
        <v>111</v>
      </c>
      <c r="DL4" s="35" t="n">
        <v>112</v>
      </c>
      <c r="DM4" s="35" t="n">
        <v>113</v>
      </c>
    </row>
    <row r="5">
      <c r="A5" t="inlineStr">
        <is>
          <t>Разрешение на стройку, № месяца</t>
        </is>
      </c>
      <c r="B5" s="30">
        <f>'Вводные'!$B$9</f>
        <v/>
      </c>
      <c r="C5" s="3" t="inlineStr">
        <is>
          <t>№</t>
        </is>
      </c>
    </row>
    <row r="6">
      <c r="A6" t="inlineStr">
        <is>
          <t>Ввод, № месяца</t>
        </is>
      </c>
      <c r="B6" s="30">
        <f>'Вводные'!$B$9+'Вводные'!$B$10</f>
        <v/>
      </c>
      <c r="C6" s="3" t="inlineStr">
        <is>
          <t>№</t>
        </is>
      </c>
    </row>
    <row r="7">
      <c r="A7" t="inlineStr">
        <is>
          <t>Последний месяц продаж (путь 1)</t>
        </is>
      </c>
      <c r="B7" s="30">
        <f>'СРОКИ'!$B$6+'Вводные'!$B$42-1</f>
        <v/>
      </c>
      <c r="C7" s="3" t="inlineStr">
        <is>
          <t>№</t>
        </is>
      </c>
    </row>
    <row r="8">
      <c r="A8" t="inlineStr">
        <is>
          <t>Месяцев удержания (путь 2)</t>
        </is>
      </c>
      <c r="B8" s="30">
        <f>'Вводные'!$B$50*12</f>
        <v/>
      </c>
      <c r="C8" s="3" t="inlineStr">
        <is>
          <t>мес.</t>
        </is>
      </c>
    </row>
    <row r="9">
      <c r="A9" t="inlineStr">
        <is>
          <t>Продажа здания, № месяца (путь 2)</t>
        </is>
      </c>
      <c r="B9" s="30">
        <f>'СРОКИ'!$B$6+'СРОКИ'!$B$8-1</f>
        <v/>
      </c>
      <c r="C9" s="3" t="inlineStr">
        <is>
          <t>№</t>
        </is>
      </c>
    </row>
    <row r="10">
      <c r="A10" s="36" t="inlineStr">
        <is>
          <t>№ месяца</t>
        </is>
      </c>
      <c r="B10" s="10" t="n"/>
      <c r="C10" s="37" t="inlineStr">
        <is>
          <t>№</t>
        </is>
      </c>
      <c r="D10" s="38">
        <f>0</f>
        <v/>
      </c>
      <c r="E10" s="38">
        <f>'СРОКИ'!D10+1</f>
        <v/>
      </c>
      <c r="F10" s="38">
        <f>'СРОКИ'!E10+1</f>
        <v/>
      </c>
      <c r="G10" s="38">
        <f>'СРОКИ'!F10+1</f>
        <v/>
      </c>
      <c r="H10" s="38">
        <f>'СРОКИ'!G10+1</f>
        <v/>
      </c>
      <c r="I10" s="38">
        <f>'СРОКИ'!H10+1</f>
        <v/>
      </c>
      <c r="J10" s="38">
        <f>'СРОКИ'!I10+1</f>
        <v/>
      </c>
      <c r="K10" s="38">
        <f>'СРОКИ'!J10+1</f>
        <v/>
      </c>
      <c r="L10" s="38">
        <f>'СРОКИ'!K10+1</f>
        <v/>
      </c>
      <c r="M10" s="38">
        <f>'СРОКИ'!L10+1</f>
        <v/>
      </c>
      <c r="N10" s="38">
        <f>'СРОКИ'!M10+1</f>
        <v/>
      </c>
      <c r="O10" s="38">
        <f>'СРОКИ'!N10+1</f>
        <v/>
      </c>
      <c r="P10" s="38">
        <f>'СРОКИ'!O10+1</f>
        <v/>
      </c>
      <c r="Q10" s="38">
        <f>'СРОКИ'!P10+1</f>
        <v/>
      </c>
      <c r="R10" s="38">
        <f>'СРОКИ'!Q10+1</f>
        <v/>
      </c>
      <c r="S10" s="38">
        <f>'СРОКИ'!R10+1</f>
        <v/>
      </c>
      <c r="T10" s="38">
        <f>'СРОКИ'!S10+1</f>
        <v/>
      </c>
      <c r="U10" s="38">
        <f>'СРОКИ'!T10+1</f>
        <v/>
      </c>
      <c r="V10" s="38">
        <f>'СРОКИ'!U10+1</f>
        <v/>
      </c>
      <c r="W10" s="38">
        <f>'СРОКИ'!V10+1</f>
        <v/>
      </c>
      <c r="X10" s="38">
        <f>'СРОКИ'!W10+1</f>
        <v/>
      </c>
      <c r="Y10" s="38">
        <f>'СРОКИ'!X10+1</f>
        <v/>
      </c>
      <c r="Z10" s="38">
        <f>'СРОКИ'!Y10+1</f>
        <v/>
      </c>
      <c r="AA10" s="38">
        <f>'СРОКИ'!Z10+1</f>
        <v/>
      </c>
      <c r="AB10" s="38">
        <f>'СРОКИ'!AA10+1</f>
        <v/>
      </c>
      <c r="AC10" s="38">
        <f>'СРОКИ'!AB10+1</f>
        <v/>
      </c>
      <c r="AD10" s="38">
        <f>'СРОКИ'!AC10+1</f>
        <v/>
      </c>
      <c r="AE10" s="38">
        <f>'СРОКИ'!AD10+1</f>
        <v/>
      </c>
      <c r="AF10" s="38">
        <f>'СРОКИ'!AE10+1</f>
        <v/>
      </c>
      <c r="AG10" s="38">
        <f>'СРОКИ'!AF10+1</f>
        <v/>
      </c>
      <c r="AH10" s="38">
        <f>'СРОКИ'!AG10+1</f>
        <v/>
      </c>
      <c r="AI10" s="38">
        <f>'СРОКИ'!AH10+1</f>
        <v/>
      </c>
      <c r="AJ10" s="38">
        <f>'СРОКИ'!AI10+1</f>
        <v/>
      </c>
      <c r="AK10" s="38">
        <f>'СРОКИ'!AJ10+1</f>
        <v/>
      </c>
      <c r="AL10" s="38">
        <f>'СРОКИ'!AK10+1</f>
        <v/>
      </c>
      <c r="AM10" s="38">
        <f>'СРОКИ'!AL10+1</f>
        <v/>
      </c>
      <c r="AN10" s="38">
        <f>'СРОКИ'!AM10+1</f>
        <v/>
      </c>
      <c r="AO10" s="38">
        <f>'СРОКИ'!AN10+1</f>
        <v/>
      </c>
      <c r="AP10" s="38">
        <f>'СРОКИ'!AO10+1</f>
        <v/>
      </c>
      <c r="AQ10" s="38">
        <f>'СРОКИ'!AP10+1</f>
        <v/>
      </c>
      <c r="AR10" s="38">
        <f>'СРОКИ'!AQ10+1</f>
        <v/>
      </c>
      <c r="AS10" s="38">
        <f>'СРОКИ'!AR10+1</f>
        <v/>
      </c>
      <c r="AT10" s="38">
        <f>'СРОКИ'!AS10+1</f>
        <v/>
      </c>
      <c r="AU10" s="38">
        <f>'СРОКИ'!AT10+1</f>
        <v/>
      </c>
      <c r="AV10" s="38">
        <f>'СРОКИ'!AU10+1</f>
        <v/>
      </c>
      <c r="AW10" s="38">
        <f>'СРОКИ'!AV10+1</f>
        <v/>
      </c>
      <c r="AX10" s="38">
        <f>'СРОКИ'!AW10+1</f>
        <v/>
      </c>
      <c r="AY10" s="38">
        <f>'СРОКИ'!AX10+1</f>
        <v/>
      </c>
      <c r="AZ10" s="38">
        <f>'СРОКИ'!AY10+1</f>
        <v/>
      </c>
      <c r="BA10" s="38">
        <f>'СРОКИ'!AZ10+1</f>
        <v/>
      </c>
      <c r="BB10" s="38">
        <f>'СРОКИ'!BA10+1</f>
        <v/>
      </c>
      <c r="BC10" s="38">
        <f>'СРОКИ'!BB10+1</f>
        <v/>
      </c>
      <c r="BD10" s="38">
        <f>'СРОКИ'!BC10+1</f>
        <v/>
      </c>
      <c r="BE10" s="38">
        <f>'СРОКИ'!BD10+1</f>
        <v/>
      </c>
      <c r="BF10" s="38">
        <f>'СРОКИ'!BE10+1</f>
        <v/>
      </c>
      <c r="BG10" s="38">
        <f>'СРОКИ'!BF10+1</f>
        <v/>
      </c>
      <c r="BH10" s="38">
        <f>'СРОКИ'!BG10+1</f>
        <v/>
      </c>
      <c r="BI10" s="38">
        <f>'СРОКИ'!BH10+1</f>
        <v/>
      </c>
      <c r="BJ10" s="38">
        <f>'СРОКИ'!BI10+1</f>
        <v/>
      </c>
      <c r="BK10" s="38">
        <f>'СРОКИ'!BJ10+1</f>
        <v/>
      </c>
      <c r="BL10" s="38">
        <f>'СРОКИ'!BK10+1</f>
        <v/>
      </c>
      <c r="BM10" s="38">
        <f>'СРОКИ'!BL10+1</f>
        <v/>
      </c>
      <c r="BN10" s="38">
        <f>'СРОКИ'!BM10+1</f>
        <v/>
      </c>
      <c r="BO10" s="38">
        <f>'СРОКИ'!BN10+1</f>
        <v/>
      </c>
      <c r="BP10" s="38">
        <f>'СРОКИ'!BO10+1</f>
        <v/>
      </c>
      <c r="BQ10" s="38">
        <f>'СРОКИ'!BP10+1</f>
        <v/>
      </c>
      <c r="BR10" s="38">
        <f>'СРОКИ'!BQ10+1</f>
        <v/>
      </c>
      <c r="BS10" s="38">
        <f>'СРОКИ'!BR10+1</f>
        <v/>
      </c>
      <c r="BT10" s="38">
        <f>'СРОКИ'!BS10+1</f>
        <v/>
      </c>
      <c r="BU10" s="38">
        <f>'СРОКИ'!BT10+1</f>
        <v/>
      </c>
      <c r="BV10" s="38">
        <f>'СРОКИ'!BU10+1</f>
        <v/>
      </c>
      <c r="BW10" s="38">
        <f>'СРОКИ'!BV10+1</f>
        <v/>
      </c>
      <c r="BX10" s="38">
        <f>'СРОКИ'!BW10+1</f>
        <v/>
      </c>
      <c r="BY10" s="38">
        <f>'СРОКИ'!BX10+1</f>
        <v/>
      </c>
      <c r="BZ10" s="38">
        <f>'СРОКИ'!BY10+1</f>
        <v/>
      </c>
      <c r="CA10" s="38">
        <f>'СРОКИ'!BZ10+1</f>
        <v/>
      </c>
      <c r="CB10" s="38">
        <f>'СРОКИ'!CA10+1</f>
        <v/>
      </c>
      <c r="CC10" s="38">
        <f>'СРОКИ'!CB10+1</f>
        <v/>
      </c>
      <c r="CD10" s="38">
        <f>'СРОКИ'!CC10+1</f>
        <v/>
      </c>
      <c r="CE10" s="38">
        <f>'СРОКИ'!CD10+1</f>
        <v/>
      </c>
      <c r="CF10" s="38">
        <f>'СРОКИ'!CE10+1</f>
        <v/>
      </c>
      <c r="CG10" s="38">
        <f>'СРОКИ'!CF10+1</f>
        <v/>
      </c>
      <c r="CH10" s="38">
        <f>'СРОКИ'!CG10+1</f>
        <v/>
      </c>
      <c r="CI10" s="38">
        <f>'СРОКИ'!CH10+1</f>
        <v/>
      </c>
      <c r="CJ10" s="38">
        <f>'СРОКИ'!CI10+1</f>
        <v/>
      </c>
      <c r="CK10" s="38">
        <f>'СРОКИ'!CJ10+1</f>
        <v/>
      </c>
      <c r="CL10" s="38">
        <f>'СРОКИ'!CK10+1</f>
        <v/>
      </c>
      <c r="CM10" s="38">
        <f>'СРОКИ'!CL10+1</f>
        <v/>
      </c>
      <c r="CN10" s="38">
        <f>'СРОКИ'!CM10+1</f>
        <v/>
      </c>
      <c r="CO10" s="38">
        <f>'СРОКИ'!CN10+1</f>
        <v/>
      </c>
      <c r="CP10" s="38">
        <f>'СРОКИ'!CO10+1</f>
        <v/>
      </c>
      <c r="CQ10" s="38">
        <f>'СРОКИ'!CP10+1</f>
        <v/>
      </c>
      <c r="CR10" s="38">
        <f>'СРОКИ'!CQ10+1</f>
        <v/>
      </c>
      <c r="CS10" s="38">
        <f>'СРОКИ'!CR10+1</f>
        <v/>
      </c>
      <c r="CT10" s="38">
        <f>'СРОКИ'!CS10+1</f>
        <v/>
      </c>
      <c r="CU10" s="38">
        <f>'СРОКИ'!CT10+1</f>
        <v/>
      </c>
      <c r="CV10" s="38">
        <f>'СРОКИ'!CU10+1</f>
        <v/>
      </c>
      <c r="CW10" s="38">
        <f>'СРОКИ'!CV10+1</f>
        <v/>
      </c>
      <c r="CX10" s="38">
        <f>'СРОКИ'!CW10+1</f>
        <v/>
      </c>
      <c r="CY10" s="38">
        <f>'СРОКИ'!CX10+1</f>
        <v/>
      </c>
      <c r="CZ10" s="38">
        <f>'СРОКИ'!CY10+1</f>
        <v/>
      </c>
      <c r="DA10" s="38">
        <f>'СРОКИ'!CZ10+1</f>
        <v/>
      </c>
      <c r="DB10" s="38">
        <f>'СРОКИ'!DA10+1</f>
        <v/>
      </c>
      <c r="DC10" s="38">
        <f>'СРОКИ'!DB10+1</f>
        <v/>
      </c>
      <c r="DD10" s="38">
        <f>'СРОКИ'!DC10+1</f>
        <v/>
      </c>
      <c r="DE10" s="38">
        <f>'СРОКИ'!DD10+1</f>
        <v/>
      </c>
      <c r="DF10" s="38">
        <f>'СРОКИ'!DE10+1</f>
        <v/>
      </c>
      <c r="DG10" s="38">
        <f>'СРОКИ'!DF10+1</f>
        <v/>
      </c>
      <c r="DH10" s="38">
        <f>'СРОКИ'!DG10+1</f>
        <v/>
      </c>
      <c r="DI10" s="38">
        <f>'СРОКИ'!DH10+1</f>
        <v/>
      </c>
      <c r="DJ10" s="38">
        <f>'СРОКИ'!DI10+1</f>
        <v/>
      </c>
      <c r="DK10" s="38">
        <f>'СРОКИ'!DJ10+1</f>
        <v/>
      </c>
      <c r="DL10" s="38">
        <f>'СРОКИ'!DK10+1</f>
        <v/>
      </c>
      <c r="DM10" s="38">
        <f>'СРОКИ'!DL10+1</f>
        <v/>
      </c>
    </row>
    <row r="11">
      <c r="A11" s="36" t="inlineStr">
        <is>
          <t>Идёт стройка</t>
        </is>
      </c>
      <c r="B11" s="10" t="n"/>
      <c r="C11" s="37" t="inlineStr">
        <is>
          <t>0/1</t>
        </is>
      </c>
      <c r="D11" s="38">
        <f>IF(AND('СРОКИ'!D10&gt;='СРОКИ'!$B$5,'СРОКИ'!D10&lt;'СРОКИ'!$B$6),1,0)</f>
        <v/>
      </c>
      <c r="E11" s="38">
        <f>IF(AND('СРОКИ'!E10&gt;='СРОКИ'!$B$5,'СРОКИ'!E10&lt;'СРОКИ'!$B$6),1,0)</f>
        <v/>
      </c>
      <c r="F11" s="38">
        <f>IF(AND('СРОКИ'!F10&gt;='СРОКИ'!$B$5,'СРОКИ'!F10&lt;'СРОКИ'!$B$6),1,0)</f>
        <v/>
      </c>
      <c r="G11" s="38">
        <f>IF(AND('СРОКИ'!G10&gt;='СРОКИ'!$B$5,'СРОКИ'!G10&lt;'СРОКИ'!$B$6),1,0)</f>
        <v/>
      </c>
      <c r="H11" s="38">
        <f>IF(AND('СРОКИ'!H10&gt;='СРОКИ'!$B$5,'СРОКИ'!H10&lt;'СРОКИ'!$B$6),1,0)</f>
        <v/>
      </c>
      <c r="I11" s="38">
        <f>IF(AND('СРОКИ'!I10&gt;='СРОКИ'!$B$5,'СРОКИ'!I10&lt;'СРОКИ'!$B$6),1,0)</f>
        <v/>
      </c>
      <c r="J11" s="38">
        <f>IF(AND('СРОКИ'!J10&gt;='СРОКИ'!$B$5,'СРОКИ'!J10&lt;'СРОКИ'!$B$6),1,0)</f>
        <v/>
      </c>
      <c r="K11" s="38">
        <f>IF(AND('СРОКИ'!K10&gt;='СРОКИ'!$B$5,'СРОКИ'!K10&lt;'СРОКИ'!$B$6),1,0)</f>
        <v/>
      </c>
      <c r="L11" s="38">
        <f>IF(AND('СРОКИ'!L10&gt;='СРОКИ'!$B$5,'СРОКИ'!L10&lt;'СРОКИ'!$B$6),1,0)</f>
        <v/>
      </c>
      <c r="M11" s="38">
        <f>IF(AND('СРОКИ'!M10&gt;='СРОКИ'!$B$5,'СРОКИ'!M10&lt;'СРОКИ'!$B$6),1,0)</f>
        <v/>
      </c>
      <c r="N11" s="38">
        <f>IF(AND('СРОКИ'!N10&gt;='СРОКИ'!$B$5,'СРОКИ'!N10&lt;'СРОКИ'!$B$6),1,0)</f>
        <v/>
      </c>
      <c r="O11" s="38">
        <f>IF(AND('СРОКИ'!O10&gt;='СРОКИ'!$B$5,'СРОКИ'!O10&lt;'СРОКИ'!$B$6),1,0)</f>
        <v/>
      </c>
      <c r="P11" s="38">
        <f>IF(AND('СРОКИ'!P10&gt;='СРОКИ'!$B$5,'СРОКИ'!P10&lt;'СРОКИ'!$B$6),1,0)</f>
        <v/>
      </c>
      <c r="Q11" s="38">
        <f>IF(AND('СРОКИ'!Q10&gt;='СРОКИ'!$B$5,'СРОКИ'!Q10&lt;'СРОКИ'!$B$6),1,0)</f>
        <v/>
      </c>
      <c r="R11" s="38">
        <f>IF(AND('СРОКИ'!R10&gt;='СРОКИ'!$B$5,'СРОКИ'!R10&lt;'СРОКИ'!$B$6),1,0)</f>
        <v/>
      </c>
      <c r="S11" s="38">
        <f>IF(AND('СРОКИ'!S10&gt;='СРОКИ'!$B$5,'СРОКИ'!S10&lt;'СРОКИ'!$B$6),1,0)</f>
        <v/>
      </c>
      <c r="T11" s="38">
        <f>IF(AND('СРОКИ'!T10&gt;='СРОКИ'!$B$5,'СРОКИ'!T10&lt;'СРОКИ'!$B$6),1,0)</f>
        <v/>
      </c>
      <c r="U11" s="38">
        <f>IF(AND('СРОКИ'!U10&gt;='СРОКИ'!$B$5,'СРОКИ'!U10&lt;'СРОКИ'!$B$6),1,0)</f>
        <v/>
      </c>
      <c r="V11" s="38">
        <f>IF(AND('СРОКИ'!V10&gt;='СРОКИ'!$B$5,'СРОКИ'!V10&lt;'СРОКИ'!$B$6),1,0)</f>
        <v/>
      </c>
      <c r="W11" s="38">
        <f>IF(AND('СРОКИ'!W10&gt;='СРОКИ'!$B$5,'СРОКИ'!W10&lt;'СРОКИ'!$B$6),1,0)</f>
        <v/>
      </c>
      <c r="X11" s="38">
        <f>IF(AND('СРОКИ'!X10&gt;='СРОКИ'!$B$5,'СРОКИ'!X10&lt;'СРОКИ'!$B$6),1,0)</f>
        <v/>
      </c>
      <c r="Y11" s="38">
        <f>IF(AND('СРОКИ'!Y10&gt;='СРОКИ'!$B$5,'СРОКИ'!Y10&lt;'СРОКИ'!$B$6),1,0)</f>
        <v/>
      </c>
      <c r="Z11" s="38">
        <f>IF(AND('СРОКИ'!Z10&gt;='СРОКИ'!$B$5,'СРОКИ'!Z10&lt;'СРОКИ'!$B$6),1,0)</f>
        <v/>
      </c>
      <c r="AA11" s="38">
        <f>IF(AND('СРОКИ'!AA10&gt;='СРОКИ'!$B$5,'СРОКИ'!AA10&lt;'СРОКИ'!$B$6),1,0)</f>
        <v/>
      </c>
      <c r="AB11" s="38">
        <f>IF(AND('СРОКИ'!AB10&gt;='СРОКИ'!$B$5,'СРОКИ'!AB10&lt;'СРОКИ'!$B$6),1,0)</f>
        <v/>
      </c>
      <c r="AC11" s="38">
        <f>IF(AND('СРОКИ'!AC10&gt;='СРОКИ'!$B$5,'СРОКИ'!AC10&lt;'СРОКИ'!$B$6),1,0)</f>
        <v/>
      </c>
      <c r="AD11" s="38">
        <f>IF(AND('СРОКИ'!AD10&gt;='СРОКИ'!$B$5,'СРОКИ'!AD10&lt;'СРОКИ'!$B$6),1,0)</f>
        <v/>
      </c>
      <c r="AE11" s="38">
        <f>IF(AND('СРОКИ'!AE10&gt;='СРОКИ'!$B$5,'СРОКИ'!AE10&lt;'СРОКИ'!$B$6),1,0)</f>
        <v/>
      </c>
      <c r="AF11" s="38">
        <f>IF(AND('СРОКИ'!AF10&gt;='СРОКИ'!$B$5,'СРОКИ'!AF10&lt;'СРОКИ'!$B$6),1,0)</f>
        <v/>
      </c>
      <c r="AG11" s="38">
        <f>IF(AND('СРОКИ'!AG10&gt;='СРОКИ'!$B$5,'СРОКИ'!AG10&lt;'СРОКИ'!$B$6),1,0)</f>
        <v/>
      </c>
      <c r="AH11" s="38">
        <f>IF(AND('СРОКИ'!AH10&gt;='СРОКИ'!$B$5,'СРОКИ'!AH10&lt;'СРОКИ'!$B$6),1,0)</f>
        <v/>
      </c>
      <c r="AI11" s="38">
        <f>IF(AND('СРОКИ'!AI10&gt;='СРОКИ'!$B$5,'СРОКИ'!AI10&lt;'СРОКИ'!$B$6),1,0)</f>
        <v/>
      </c>
      <c r="AJ11" s="38">
        <f>IF(AND('СРОКИ'!AJ10&gt;='СРОКИ'!$B$5,'СРОКИ'!AJ10&lt;'СРОКИ'!$B$6),1,0)</f>
        <v/>
      </c>
      <c r="AK11" s="38">
        <f>IF(AND('СРОКИ'!AK10&gt;='СРОКИ'!$B$5,'СРОКИ'!AK10&lt;'СРОКИ'!$B$6),1,0)</f>
        <v/>
      </c>
      <c r="AL11" s="38">
        <f>IF(AND('СРОКИ'!AL10&gt;='СРОКИ'!$B$5,'СРОКИ'!AL10&lt;'СРОКИ'!$B$6),1,0)</f>
        <v/>
      </c>
      <c r="AM11" s="38">
        <f>IF(AND('СРОКИ'!AM10&gt;='СРОКИ'!$B$5,'СРОКИ'!AM10&lt;'СРОКИ'!$B$6),1,0)</f>
        <v/>
      </c>
      <c r="AN11" s="38">
        <f>IF(AND('СРОКИ'!AN10&gt;='СРОКИ'!$B$5,'СРОКИ'!AN10&lt;'СРОКИ'!$B$6),1,0)</f>
        <v/>
      </c>
      <c r="AO11" s="38">
        <f>IF(AND('СРОКИ'!AO10&gt;='СРОКИ'!$B$5,'СРОКИ'!AO10&lt;'СРОКИ'!$B$6),1,0)</f>
        <v/>
      </c>
      <c r="AP11" s="38">
        <f>IF(AND('СРОКИ'!AP10&gt;='СРОКИ'!$B$5,'СРОКИ'!AP10&lt;'СРОКИ'!$B$6),1,0)</f>
        <v/>
      </c>
      <c r="AQ11" s="38">
        <f>IF(AND('СРОКИ'!AQ10&gt;='СРОКИ'!$B$5,'СРОКИ'!AQ10&lt;'СРОКИ'!$B$6),1,0)</f>
        <v/>
      </c>
      <c r="AR11" s="38">
        <f>IF(AND('СРОКИ'!AR10&gt;='СРОКИ'!$B$5,'СРОКИ'!AR10&lt;'СРОКИ'!$B$6),1,0)</f>
        <v/>
      </c>
      <c r="AS11" s="38">
        <f>IF(AND('СРОКИ'!AS10&gt;='СРОКИ'!$B$5,'СРОКИ'!AS10&lt;'СРОКИ'!$B$6),1,0)</f>
        <v/>
      </c>
      <c r="AT11" s="38">
        <f>IF(AND('СРОКИ'!AT10&gt;='СРОКИ'!$B$5,'СРОКИ'!AT10&lt;'СРОКИ'!$B$6),1,0)</f>
        <v/>
      </c>
      <c r="AU11" s="38">
        <f>IF(AND('СРОКИ'!AU10&gt;='СРОКИ'!$B$5,'СРОКИ'!AU10&lt;'СРОКИ'!$B$6),1,0)</f>
        <v/>
      </c>
      <c r="AV11" s="38">
        <f>IF(AND('СРОКИ'!AV10&gt;='СРОКИ'!$B$5,'СРОКИ'!AV10&lt;'СРОКИ'!$B$6),1,0)</f>
        <v/>
      </c>
      <c r="AW11" s="38">
        <f>IF(AND('СРОКИ'!AW10&gt;='СРОКИ'!$B$5,'СРОКИ'!AW10&lt;'СРОКИ'!$B$6),1,0)</f>
        <v/>
      </c>
      <c r="AX11" s="38">
        <f>IF(AND('СРОКИ'!AX10&gt;='СРОКИ'!$B$5,'СРОКИ'!AX10&lt;'СРОКИ'!$B$6),1,0)</f>
        <v/>
      </c>
      <c r="AY11" s="38">
        <f>IF(AND('СРОКИ'!AY10&gt;='СРОКИ'!$B$5,'СРОКИ'!AY10&lt;'СРОКИ'!$B$6),1,0)</f>
        <v/>
      </c>
      <c r="AZ11" s="38">
        <f>IF(AND('СРОКИ'!AZ10&gt;='СРОКИ'!$B$5,'СРОКИ'!AZ10&lt;'СРОКИ'!$B$6),1,0)</f>
        <v/>
      </c>
      <c r="BA11" s="38">
        <f>IF(AND('СРОКИ'!BA10&gt;='СРОКИ'!$B$5,'СРОКИ'!BA10&lt;'СРОКИ'!$B$6),1,0)</f>
        <v/>
      </c>
      <c r="BB11" s="38">
        <f>IF(AND('СРОКИ'!BB10&gt;='СРОКИ'!$B$5,'СРОКИ'!BB10&lt;'СРОКИ'!$B$6),1,0)</f>
        <v/>
      </c>
      <c r="BC11" s="38">
        <f>IF(AND('СРОКИ'!BC10&gt;='СРОКИ'!$B$5,'СРОКИ'!BC10&lt;'СРОКИ'!$B$6),1,0)</f>
        <v/>
      </c>
      <c r="BD11" s="38">
        <f>IF(AND('СРОКИ'!BD10&gt;='СРОКИ'!$B$5,'СРОКИ'!BD10&lt;'СРОКИ'!$B$6),1,0)</f>
        <v/>
      </c>
      <c r="BE11" s="38">
        <f>IF(AND('СРОКИ'!BE10&gt;='СРОКИ'!$B$5,'СРОКИ'!BE10&lt;'СРОКИ'!$B$6),1,0)</f>
        <v/>
      </c>
      <c r="BF11" s="38">
        <f>IF(AND('СРОКИ'!BF10&gt;='СРОКИ'!$B$5,'СРОКИ'!BF10&lt;'СРОКИ'!$B$6),1,0)</f>
        <v/>
      </c>
      <c r="BG11" s="38">
        <f>IF(AND('СРОКИ'!BG10&gt;='СРОКИ'!$B$5,'СРОКИ'!BG10&lt;'СРОКИ'!$B$6),1,0)</f>
        <v/>
      </c>
      <c r="BH11" s="38">
        <f>IF(AND('СРОКИ'!BH10&gt;='СРОКИ'!$B$5,'СРОКИ'!BH10&lt;'СРОКИ'!$B$6),1,0)</f>
        <v/>
      </c>
      <c r="BI11" s="38">
        <f>IF(AND('СРОКИ'!BI10&gt;='СРОКИ'!$B$5,'СРОКИ'!BI10&lt;'СРОКИ'!$B$6),1,0)</f>
        <v/>
      </c>
      <c r="BJ11" s="38">
        <f>IF(AND('СРОКИ'!BJ10&gt;='СРОКИ'!$B$5,'СРОКИ'!BJ10&lt;'СРОКИ'!$B$6),1,0)</f>
        <v/>
      </c>
      <c r="BK11" s="38">
        <f>IF(AND('СРОКИ'!BK10&gt;='СРОКИ'!$B$5,'СРОКИ'!BK10&lt;'СРОКИ'!$B$6),1,0)</f>
        <v/>
      </c>
      <c r="BL11" s="38">
        <f>IF(AND('СРОКИ'!BL10&gt;='СРОКИ'!$B$5,'СРОКИ'!BL10&lt;'СРОКИ'!$B$6),1,0)</f>
        <v/>
      </c>
      <c r="BM11" s="38">
        <f>IF(AND('СРОКИ'!BM10&gt;='СРОКИ'!$B$5,'СРОКИ'!BM10&lt;'СРОКИ'!$B$6),1,0)</f>
        <v/>
      </c>
      <c r="BN11" s="38">
        <f>IF(AND('СРОКИ'!BN10&gt;='СРОКИ'!$B$5,'СРОКИ'!BN10&lt;'СРОКИ'!$B$6),1,0)</f>
        <v/>
      </c>
      <c r="BO11" s="38">
        <f>IF(AND('СРОКИ'!BO10&gt;='СРОКИ'!$B$5,'СРОКИ'!BO10&lt;'СРОКИ'!$B$6),1,0)</f>
        <v/>
      </c>
      <c r="BP11" s="38">
        <f>IF(AND('СРОКИ'!BP10&gt;='СРОКИ'!$B$5,'СРОКИ'!BP10&lt;'СРОКИ'!$B$6),1,0)</f>
        <v/>
      </c>
      <c r="BQ11" s="38">
        <f>IF(AND('СРОКИ'!BQ10&gt;='СРОКИ'!$B$5,'СРОКИ'!BQ10&lt;'СРОКИ'!$B$6),1,0)</f>
        <v/>
      </c>
      <c r="BR11" s="38">
        <f>IF(AND('СРОКИ'!BR10&gt;='СРОКИ'!$B$5,'СРОКИ'!BR10&lt;'СРОКИ'!$B$6),1,0)</f>
        <v/>
      </c>
      <c r="BS11" s="38">
        <f>IF(AND('СРОКИ'!BS10&gt;='СРОКИ'!$B$5,'СРОКИ'!BS10&lt;'СРОКИ'!$B$6),1,0)</f>
        <v/>
      </c>
      <c r="BT11" s="38">
        <f>IF(AND('СРОКИ'!BT10&gt;='СРОКИ'!$B$5,'СРОКИ'!BT10&lt;'СРОКИ'!$B$6),1,0)</f>
        <v/>
      </c>
      <c r="BU11" s="38">
        <f>IF(AND('СРОКИ'!BU10&gt;='СРОКИ'!$B$5,'СРОКИ'!BU10&lt;'СРОКИ'!$B$6),1,0)</f>
        <v/>
      </c>
      <c r="BV11" s="38">
        <f>IF(AND('СРОКИ'!BV10&gt;='СРОКИ'!$B$5,'СРОКИ'!BV10&lt;'СРОКИ'!$B$6),1,0)</f>
        <v/>
      </c>
      <c r="BW11" s="38">
        <f>IF(AND('СРОКИ'!BW10&gt;='СРОКИ'!$B$5,'СРОКИ'!BW10&lt;'СРОКИ'!$B$6),1,0)</f>
        <v/>
      </c>
      <c r="BX11" s="38">
        <f>IF(AND('СРОКИ'!BX10&gt;='СРОКИ'!$B$5,'СРОКИ'!BX10&lt;'СРОКИ'!$B$6),1,0)</f>
        <v/>
      </c>
      <c r="BY11" s="38">
        <f>IF(AND('СРОКИ'!BY10&gt;='СРОКИ'!$B$5,'СРОКИ'!BY10&lt;'СРОКИ'!$B$6),1,0)</f>
        <v/>
      </c>
      <c r="BZ11" s="38">
        <f>IF(AND('СРОКИ'!BZ10&gt;='СРОКИ'!$B$5,'СРОКИ'!BZ10&lt;'СРОКИ'!$B$6),1,0)</f>
        <v/>
      </c>
      <c r="CA11" s="38">
        <f>IF(AND('СРОКИ'!CA10&gt;='СРОКИ'!$B$5,'СРОКИ'!CA10&lt;'СРОКИ'!$B$6),1,0)</f>
        <v/>
      </c>
      <c r="CB11" s="38">
        <f>IF(AND('СРОКИ'!CB10&gt;='СРОКИ'!$B$5,'СРОКИ'!CB10&lt;'СРОКИ'!$B$6),1,0)</f>
        <v/>
      </c>
      <c r="CC11" s="38">
        <f>IF(AND('СРОКИ'!CC10&gt;='СРОКИ'!$B$5,'СРОКИ'!CC10&lt;'СРОКИ'!$B$6),1,0)</f>
        <v/>
      </c>
      <c r="CD11" s="38">
        <f>IF(AND('СРОКИ'!CD10&gt;='СРОКИ'!$B$5,'СРОКИ'!CD10&lt;'СРОКИ'!$B$6),1,0)</f>
        <v/>
      </c>
      <c r="CE11" s="38">
        <f>IF(AND('СРОКИ'!CE10&gt;='СРОКИ'!$B$5,'СРОКИ'!CE10&lt;'СРОКИ'!$B$6),1,0)</f>
        <v/>
      </c>
      <c r="CF11" s="38">
        <f>IF(AND('СРОКИ'!CF10&gt;='СРОКИ'!$B$5,'СРОКИ'!CF10&lt;'СРОКИ'!$B$6),1,0)</f>
        <v/>
      </c>
      <c r="CG11" s="38">
        <f>IF(AND('СРОКИ'!CG10&gt;='СРОКИ'!$B$5,'СРОКИ'!CG10&lt;'СРОКИ'!$B$6),1,0)</f>
        <v/>
      </c>
      <c r="CH11" s="38">
        <f>IF(AND('СРОКИ'!CH10&gt;='СРОКИ'!$B$5,'СРОКИ'!CH10&lt;'СРОКИ'!$B$6),1,0)</f>
        <v/>
      </c>
      <c r="CI11" s="38">
        <f>IF(AND('СРОКИ'!CI10&gt;='СРОКИ'!$B$5,'СРОКИ'!CI10&lt;'СРОКИ'!$B$6),1,0)</f>
        <v/>
      </c>
      <c r="CJ11" s="38">
        <f>IF(AND('СРОКИ'!CJ10&gt;='СРОКИ'!$B$5,'СРОКИ'!CJ10&lt;'СРОКИ'!$B$6),1,0)</f>
        <v/>
      </c>
      <c r="CK11" s="38">
        <f>IF(AND('СРОКИ'!CK10&gt;='СРОКИ'!$B$5,'СРОКИ'!CK10&lt;'СРОКИ'!$B$6),1,0)</f>
        <v/>
      </c>
      <c r="CL11" s="38">
        <f>IF(AND('СРОКИ'!CL10&gt;='СРОКИ'!$B$5,'СРОКИ'!CL10&lt;'СРОКИ'!$B$6),1,0)</f>
        <v/>
      </c>
      <c r="CM11" s="38">
        <f>IF(AND('СРОКИ'!CM10&gt;='СРОКИ'!$B$5,'СРОКИ'!CM10&lt;'СРОКИ'!$B$6),1,0)</f>
        <v/>
      </c>
      <c r="CN11" s="38">
        <f>IF(AND('СРОКИ'!CN10&gt;='СРОКИ'!$B$5,'СРОКИ'!CN10&lt;'СРОКИ'!$B$6),1,0)</f>
        <v/>
      </c>
      <c r="CO11" s="38">
        <f>IF(AND('СРОКИ'!CO10&gt;='СРОКИ'!$B$5,'СРОКИ'!CO10&lt;'СРОКИ'!$B$6),1,0)</f>
        <v/>
      </c>
      <c r="CP11" s="38">
        <f>IF(AND('СРОКИ'!CP10&gt;='СРОКИ'!$B$5,'СРОКИ'!CP10&lt;'СРОКИ'!$B$6),1,0)</f>
        <v/>
      </c>
      <c r="CQ11" s="38">
        <f>IF(AND('СРОКИ'!CQ10&gt;='СРОКИ'!$B$5,'СРОКИ'!CQ10&lt;'СРОКИ'!$B$6),1,0)</f>
        <v/>
      </c>
      <c r="CR11" s="38">
        <f>IF(AND('СРОКИ'!CR10&gt;='СРОКИ'!$B$5,'СРОКИ'!CR10&lt;'СРОКИ'!$B$6),1,0)</f>
        <v/>
      </c>
      <c r="CS11" s="38">
        <f>IF(AND('СРОКИ'!CS10&gt;='СРОКИ'!$B$5,'СРОКИ'!CS10&lt;'СРОКИ'!$B$6),1,0)</f>
        <v/>
      </c>
      <c r="CT11" s="38">
        <f>IF(AND('СРОКИ'!CT10&gt;='СРОКИ'!$B$5,'СРОКИ'!CT10&lt;'СРОКИ'!$B$6),1,0)</f>
        <v/>
      </c>
      <c r="CU11" s="38">
        <f>IF(AND('СРОКИ'!CU10&gt;='СРОКИ'!$B$5,'СРОКИ'!CU10&lt;'СРОКИ'!$B$6),1,0)</f>
        <v/>
      </c>
      <c r="CV11" s="38">
        <f>IF(AND('СРОКИ'!CV10&gt;='СРОКИ'!$B$5,'СРОКИ'!CV10&lt;'СРОКИ'!$B$6),1,0)</f>
        <v/>
      </c>
      <c r="CW11" s="38">
        <f>IF(AND('СРОКИ'!CW10&gt;='СРОКИ'!$B$5,'СРОКИ'!CW10&lt;'СРОКИ'!$B$6),1,0)</f>
        <v/>
      </c>
      <c r="CX11" s="38">
        <f>IF(AND('СРОКИ'!CX10&gt;='СРОКИ'!$B$5,'СРОКИ'!CX10&lt;'СРОКИ'!$B$6),1,0)</f>
        <v/>
      </c>
      <c r="CY11" s="38">
        <f>IF(AND('СРОКИ'!CY10&gt;='СРОКИ'!$B$5,'СРОКИ'!CY10&lt;'СРОКИ'!$B$6),1,0)</f>
        <v/>
      </c>
      <c r="CZ11" s="38">
        <f>IF(AND('СРОКИ'!CZ10&gt;='СРОКИ'!$B$5,'СРОКИ'!CZ10&lt;'СРОКИ'!$B$6),1,0)</f>
        <v/>
      </c>
      <c r="DA11" s="38">
        <f>IF(AND('СРОКИ'!DA10&gt;='СРОКИ'!$B$5,'СРОКИ'!DA10&lt;'СРОКИ'!$B$6),1,0)</f>
        <v/>
      </c>
      <c r="DB11" s="38">
        <f>IF(AND('СРОКИ'!DB10&gt;='СРОКИ'!$B$5,'СРОКИ'!DB10&lt;'СРОКИ'!$B$6),1,0)</f>
        <v/>
      </c>
      <c r="DC11" s="38">
        <f>IF(AND('СРОКИ'!DC10&gt;='СРОКИ'!$B$5,'СРОКИ'!DC10&lt;'СРОКИ'!$B$6),1,0)</f>
        <v/>
      </c>
      <c r="DD11" s="38">
        <f>IF(AND('СРОКИ'!DD10&gt;='СРОКИ'!$B$5,'СРОКИ'!DD10&lt;'СРОКИ'!$B$6),1,0)</f>
        <v/>
      </c>
      <c r="DE11" s="38">
        <f>IF(AND('СРОКИ'!DE10&gt;='СРОКИ'!$B$5,'СРОКИ'!DE10&lt;'СРОКИ'!$B$6),1,0)</f>
        <v/>
      </c>
      <c r="DF11" s="38">
        <f>IF(AND('СРОКИ'!DF10&gt;='СРОКИ'!$B$5,'СРОКИ'!DF10&lt;'СРОКИ'!$B$6),1,0)</f>
        <v/>
      </c>
      <c r="DG11" s="38">
        <f>IF(AND('СРОКИ'!DG10&gt;='СРОКИ'!$B$5,'СРОКИ'!DG10&lt;'СРОКИ'!$B$6),1,0)</f>
        <v/>
      </c>
      <c r="DH11" s="38">
        <f>IF(AND('СРОКИ'!DH10&gt;='СРОКИ'!$B$5,'СРОКИ'!DH10&lt;'СРОКИ'!$B$6),1,0)</f>
        <v/>
      </c>
      <c r="DI11" s="38">
        <f>IF(AND('СРОКИ'!DI10&gt;='СРОКИ'!$B$5,'СРОКИ'!DI10&lt;'СРОКИ'!$B$6),1,0)</f>
        <v/>
      </c>
      <c r="DJ11" s="38">
        <f>IF(AND('СРОКИ'!DJ10&gt;='СРОКИ'!$B$5,'СРОКИ'!DJ10&lt;'СРОКИ'!$B$6),1,0)</f>
        <v/>
      </c>
      <c r="DK11" s="38">
        <f>IF(AND('СРОКИ'!DK10&gt;='СРОКИ'!$B$5,'СРОКИ'!DK10&lt;'СРОКИ'!$B$6),1,0)</f>
        <v/>
      </c>
      <c r="DL11" s="38">
        <f>IF(AND('СРОКИ'!DL10&gt;='СРОКИ'!$B$5,'СРОКИ'!DL10&lt;'СРОКИ'!$B$6),1,0)</f>
        <v/>
      </c>
      <c r="DM11" s="38">
        <f>IF(AND('СРОКИ'!DM10&gt;='СРОКИ'!$B$5,'СРОКИ'!DM10&lt;'СРОКИ'!$B$6),1,0)</f>
        <v/>
      </c>
    </row>
    <row r="12">
      <c r="A12" s="36" t="inlineStr">
        <is>
          <t>Месяц ввода</t>
        </is>
      </c>
      <c r="B12" s="10" t="n"/>
      <c r="C12" s="37" t="inlineStr">
        <is>
          <t>0/1</t>
        </is>
      </c>
      <c r="D12" s="38">
        <f>IF('СРОКИ'!D10='СРОКИ'!$B$6,1,0)</f>
        <v/>
      </c>
      <c r="E12" s="38">
        <f>IF('СРОКИ'!E10='СРОКИ'!$B$6,1,0)</f>
        <v/>
      </c>
      <c r="F12" s="38">
        <f>IF('СРОКИ'!F10='СРОКИ'!$B$6,1,0)</f>
        <v/>
      </c>
      <c r="G12" s="38">
        <f>IF('СРОКИ'!G10='СРОКИ'!$B$6,1,0)</f>
        <v/>
      </c>
      <c r="H12" s="38">
        <f>IF('СРОКИ'!H10='СРОКИ'!$B$6,1,0)</f>
        <v/>
      </c>
      <c r="I12" s="38">
        <f>IF('СРОКИ'!I10='СРОКИ'!$B$6,1,0)</f>
        <v/>
      </c>
      <c r="J12" s="38">
        <f>IF('СРОКИ'!J10='СРОКИ'!$B$6,1,0)</f>
        <v/>
      </c>
      <c r="K12" s="38">
        <f>IF('СРОКИ'!K10='СРОКИ'!$B$6,1,0)</f>
        <v/>
      </c>
      <c r="L12" s="38">
        <f>IF('СРОКИ'!L10='СРОКИ'!$B$6,1,0)</f>
        <v/>
      </c>
      <c r="M12" s="38">
        <f>IF('СРОКИ'!M10='СРОКИ'!$B$6,1,0)</f>
        <v/>
      </c>
      <c r="N12" s="38">
        <f>IF('СРОКИ'!N10='СРОКИ'!$B$6,1,0)</f>
        <v/>
      </c>
      <c r="O12" s="38">
        <f>IF('СРОКИ'!O10='СРОКИ'!$B$6,1,0)</f>
        <v/>
      </c>
      <c r="P12" s="38">
        <f>IF('СРОКИ'!P10='СРОКИ'!$B$6,1,0)</f>
        <v/>
      </c>
      <c r="Q12" s="38">
        <f>IF('СРОКИ'!Q10='СРОКИ'!$B$6,1,0)</f>
        <v/>
      </c>
      <c r="R12" s="38">
        <f>IF('СРОКИ'!R10='СРОКИ'!$B$6,1,0)</f>
        <v/>
      </c>
      <c r="S12" s="38">
        <f>IF('СРОКИ'!S10='СРОКИ'!$B$6,1,0)</f>
        <v/>
      </c>
      <c r="T12" s="38">
        <f>IF('СРОКИ'!T10='СРОКИ'!$B$6,1,0)</f>
        <v/>
      </c>
      <c r="U12" s="38">
        <f>IF('СРОКИ'!U10='СРОКИ'!$B$6,1,0)</f>
        <v/>
      </c>
      <c r="V12" s="38">
        <f>IF('СРОКИ'!V10='СРОКИ'!$B$6,1,0)</f>
        <v/>
      </c>
      <c r="W12" s="38">
        <f>IF('СРОКИ'!W10='СРОКИ'!$B$6,1,0)</f>
        <v/>
      </c>
      <c r="X12" s="38">
        <f>IF('СРОКИ'!X10='СРОКИ'!$B$6,1,0)</f>
        <v/>
      </c>
      <c r="Y12" s="38">
        <f>IF('СРОКИ'!Y10='СРОКИ'!$B$6,1,0)</f>
        <v/>
      </c>
      <c r="Z12" s="38">
        <f>IF('СРОКИ'!Z10='СРОКИ'!$B$6,1,0)</f>
        <v/>
      </c>
      <c r="AA12" s="38">
        <f>IF('СРОКИ'!AA10='СРОКИ'!$B$6,1,0)</f>
        <v/>
      </c>
      <c r="AB12" s="38">
        <f>IF('СРОКИ'!AB10='СРОКИ'!$B$6,1,0)</f>
        <v/>
      </c>
      <c r="AC12" s="38">
        <f>IF('СРОКИ'!AC10='СРОКИ'!$B$6,1,0)</f>
        <v/>
      </c>
      <c r="AD12" s="38">
        <f>IF('СРОКИ'!AD10='СРОКИ'!$B$6,1,0)</f>
        <v/>
      </c>
      <c r="AE12" s="38">
        <f>IF('СРОКИ'!AE10='СРОКИ'!$B$6,1,0)</f>
        <v/>
      </c>
      <c r="AF12" s="38">
        <f>IF('СРОКИ'!AF10='СРОКИ'!$B$6,1,0)</f>
        <v/>
      </c>
      <c r="AG12" s="38">
        <f>IF('СРОКИ'!AG10='СРОКИ'!$B$6,1,0)</f>
        <v/>
      </c>
      <c r="AH12" s="38">
        <f>IF('СРОКИ'!AH10='СРОКИ'!$B$6,1,0)</f>
        <v/>
      </c>
      <c r="AI12" s="38">
        <f>IF('СРОКИ'!AI10='СРОКИ'!$B$6,1,0)</f>
        <v/>
      </c>
      <c r="AJ12" s="38">
        <f>IF('СРОКИ'!AJ10='СРОКИ'!$B$6,1,0)</f>
        <v/>
      </c>
      <c r="AK12" s="38">
        <f>IF('СРОКИ'!AK10='СРОКИ'!$B$6,1,0)</f>
        <v/>
      </c>
      <c r="AL12" s="38">
        <f>IF('СРОКИ'!AL10='СРОКИ'!$B$6,1,0)</f>
        <v/>
      </c>
      <c r="AM12" s="38">
        <f>IF('СРОКИ'!AM10='СРОКИ'!$B$6,1,0)</f>
        <v/>
      </c>
      <c r="AN12" s="38">
        <f>IF('СРОКИ'!AN10='СРОКИ'!$B$6,1,0)</f>
        <v/>
      </c>
      <c r="AO12" s="38">
        <f>IF('СРОКИ'!AO10='СРОКИ'!$B$6,1,0)</f>
        <v/>
      </c>
      <c r="AP12" s="38">
        <f>IF('СРОКИ'!AP10='СРОКИ'!$B$6,1,0)</f>
        <v/>
      </c>
      <c r="AQ12" s="38">
        <f>IF('СРОКИ'!AQ10='СРОКИ'!$B$6,1,0)</f>
        <v/>
      </c>
      <c r="AR12" s="38">
        <f>IF('СРОКИ'!AR10='СРОКИ'!$B$6,1,0)</f>
        <v/>
      </c>
      <c r="AS12" s="38">
        <f>IF('СРОКИ'!AS10='СРОКИ'!$B$6,1,0)</f>
        <v/>
      </c>
      <c r="AT12" s="38">
        <f>IF('СРОКИ'!AT10='СРОКИ'!$B$6,1,0)</f>
        <v/>
      </c>
      <c r="AU12" s="38">
        <f>IF('СРОКИ'!AU10='СРОКИ'!$B$6,1,0)</f>
        <v/>
      </c>
      <c r="AV12" s="38">
        <f>IF('СРОКИ'!AV10='СРОКИ'!$B$6,1,0)</f>
        <v/>
      </c>
      <c r="AW12" s="38">
        <f>IF('СРОКИ'!AW10='СРОКИ'!$B$6,1,0)</f>
        <v/>
      </c>
      <c r="AX12" s="38">
        <f>IF('СРОКИ'!AX10='СРОКИ'!$B$6,1,0)</f>
        <v/>
      </c>
      <c r="AY12" s="38">
        <f>IF('СРОКИ'!AY10='СРОКИ'!$B$6,1,0)</f>
        <v/>
      </c>
      <c r="AZ12" s="38">
        <f>IF('СРОКИ'!AZ10='СРОКИ'!$B$6,1,0)</f>
        <v/>
      </c>
      <c r="BA12" s="38">
        <f>IF('СРОКИ'!BA10='СРОКИ'!$B$6,1,0)</f>
        <v/>
      </c>
      <c r="BB12" s="38">
        <f>IF('СРОКИ'!BB10='СРОКИ'!$B$6,1,0)</f>
        <v/>
      </c>
      <c r="BC12" s="38">
        <f>IF('СРОКИ'!BC10='СРОКИ'!$B$6,1,0)</f>
        <v/>
      </c>
      <c r="BD12" s="38">
        <f>IF('СРОКИ'!BD10='СРОКИ'!$B$6,1,0)</f>
        <v/>
      </c>
      <c r="BE12" s="38">
        <f>IF('СРОКИ'!BE10='СРОКИ'!$B$6,1,0)</f>
        <v/>
      </c>
      <c r="BF12" s="38">
        <f>IF('СРОКИ'!BF10='СРОКИ'!$B$6,1,0)</f>
        <v/>
      </c>
      <c r="BG12" s="38">
        <f>IF('СРОКИ'!BG10='СРОКИ'!$B$6,1,0)</f>
        <v/>
      </c>
      <c r="BH12" s="38">
        <f>IF('СРОКИ'!BH10='СРОКИ'!$B$6,1,0)</f>
        <v/>
      </c>
      <c r="BI12" s="38">
        <f>IF('СРОКИ'!BI10='СРОКИ'!$B$6,1,0)</f>
        <v/>
      </c>
      <c r="BJ12" s="38">
        <f>IF('СРОКИ'!BJ10='СРОКИ'!$B$6,1,0)</f>
        <v/>
      </c>
      <c r="BK12" s="38">
        <f>IF('СРОКИ'!BK10='СРОКИ'!$B$6,1,0)</f>
        <v/>
      </c>
      <c r="BL12" s="38">
        <f>IF('СРОКИ'!BL10='СРОКИ'!$B$6,1,0)</f>
        <v/>
      </c>
      <c r="BM12" s="38">
        <f>IF('СРОКИ'!BM10='СРОКИ'!$B$6,1,0)</f>
        <v/>
      </c>
      <c r="BN12" s="38">
        <f>IF('СРОКИ'!BN10='СРОКИ'!$B$6,1,0)</f>
        <v/>
      </c>
      <c r="BO12" s="38">
        <f>IF('СРОКИ'!BO10='СРОКИ'!$B$6,1,0)</f>
        <v/>
      </c>
      <c r="BP12" s="38">
        <f>IF('СРОКИ'!BP10='СРОКИ'!$B$6,1,0)</f>
        <v/>
      </c>
      <c r="BQ12" s="38">
        <f>IF('СРОКИ'!BQ10='СРОКИ'!$B$6,1,0)</f>
        <v/>
      </c>
      <c r="BR12" s="38">
        <f>IF('СРОКИ'!BR10='СРОКИ'!$B$6,1,0)</f>
        <v/>
      </c>
      <c r="BS12" s="38">
        <f>IF('СРОКИ'!BS10='СРОКИ'!$B$6,1,0)</f>
        <v/>
      </c>
      <c r="BT12" s="38">
        <f>IF('СРОКИ'!BT10='СРОКИ'!$B$6,1,0)</f>
        <v/>
      </c>
      <c r="BU12" s="38">
        <f>IF('СРОКИ'!BU10='СРОКИ'!$B$6,1,0)</f>
        <v/>
      </c>
      <c r="BV12" s="38">
        <f>IF('СРОКИ'!BV10='СРОКИ'!$B$6,1,0)</f>
        <v/>
      </c>
      <c r="BW12" s="38">
        <f>IF('СРОКИ'!BW10='СРОКИ'!$B$6,1,0)</f>
        <v/>
      </c>
      <c r="BX12" s="38">
        <f>IF('СРОКИ'!BX10='СРОКИ'!$B$6,1,0)</f>
        <v/>
      </c>
      <c r="BY12" s="38">
        <f>IF('СРОКИ'!BY10='СРОКИ'!$B$6,1,0)</f>
        <v/>
      </c>
      <c r="BZ12" s="38">
        <f>IF('СРОКИ'!BZ10='СРОКИ'!$B$6,1,0)</f>
        <v/>
      </c>
      <c r="CA12" s="38">
        <f>IF('СРОКИ'!CA10='СРОКИ'!$B$6,1,0)</f>
        <v/>
      </c>
      <c r="CB12" s="38">
        <f>IF('СРОКИ'!CB10='СРОКИ'!$B$6,1,0)</f>
        <v/>
      </c>
      <c r="CC12" s="38">
        <f>IF('СРОКИ'!CC10='СРОКИ'!$B$6,1,0)</f>
        <v/>
      </c>
      <c r="CD12" s="38">
        <f>IF('СРОКИ'!CD10='СРОКИ'!$B$6,1,0)</f>
        <v/>
      </c>
      <c r="CE12" s="38">
        <f>IF('СРОКИ'!CE10='СРОКИ'!$B$6,1,0)</f>
        <v/>
      </c>
      <c r="CF12" s="38">
        <f>IF('СРОКИ'!CF10='СРОКИ'!$B$6,1,0)</f>
        <v/>
      </c>
      <c r="CG12" s="38">
        <f>IF('СРОКИ'!CG10='СРОКИ'!$B$6,1,0)</f>
        <v/>
      </c>
      <c r="CH12" s="38">
        <f>IF('СРОКИ'!CH10='СРОКИ'!$B$6,1,0)</f>
        <v/>
      </c>
      <c r="CI12" s="38">
        <f>IF('СРОКИ'!CI10='СРОКИ'!$B$6,1,0)</f>
        <v/>
      </c>
      <c r="CJ12" s="38">
        <f>IF('СРОКИ'!CJ10='СРОКИ'!$B$6,1,0)</f>
        <v/>
      </c>
      <c r="CK12" s="38">
        <f>IF('СРОКИ'!CK10='СРОКИ'!$B$6,1,0)</f>
        <v/>
      </c>
      <c r="CL12" s="38">
        <f>IF('СРОКИ'!CL10='СРОКИ'!$B$6,1,0)</f>
        <v/>
      </c>
      <c r="CM12" s="38">
        <f>IF('СРОКИ'!CM10='СРОКИ'!$B$6,1,0)</f>
        <v/>
      </c>
      <c r="CN12" s="38">
        <f>IF('СРОКИ'!CN10='СРОКИ'!$B$6,1,0)</f>
        <v/>
      </c>
      <c r="CO12" s="38">
        <f>IF('СРОКИ'!CO10='СРОКИ'!$B$6,1,0)</f>
        <v/>
      </c>
      <c r="CP12" s="38">
        <f>IF('СРОКИ'!CP10='СРОКИ'!$B$6,1,0)</f>
        <v/>
      </c>
      <c r="CQ12" s="38">
        <f>IF('СРОКИ'!CQ10='СРОКИ'!$B$6,1,0)</f>
        <v/>
      </c>
      <c r="CR12" s="38">
        <f>IF('СРОКИ'!CR10='СРОКИ'!$B$6,1,0)</f>
        <v/>
      </c>
      <c r="CS12" s="38">
        <f>IF('СРОКИ'!CS10='СРОКИ'!$B$6,1,0)</f>
        <v/>
      </c>
      <c r="CT12" s="38">
        <f>IF('СРОКИ'!CT10='СРОКИ'!$B$6,1,0)</f>
        <v/>
      </c>
      <c r="CU12" s="38">
        <f>IF('СРОКИ'!CU10='СРОКИ'!$B$6,1,0)</f>
        <v/>
      </c>
      <c r="CV12" s="38">
        <f>IF('СРОКИ'!CV10='СРОКИ'!$B$6,1,0)</f>
        <v/>
      </c>
      <c r="CW12" s="38">
        <f>IF('СРОКИ'!CW10='СРОКИ'!$B$6,1,0)</f>
        <v/>
      </c>
      <c r="CX12" s="38">
        <f>IF('СРОКИ'!CX10='СРОКИ'!$B$6,1,0)</f>
        <v/>
      </c>
      <c r="CY12" s="38">
        <f>IF('СРОКИ'!CY10='СРОКИ'!$B$6,1,0)</f>
        <v/>
      </c>
      <c r="CZ12" s="38">
        <f>IF('СРОКИ'!CZ10='СРОКИ'!$B$6,1,0)</f>
        <v/>
      </c>
      <c r="DA12" s="38">
        <f>IF('СРОКИ'!DA10='СРОКИ'!$B$6,1,0)</f>
        <v/>
      </c>
      <c r="DB12" s="38">
        <f>IF('СРОКИ'!DB10='СРОКИ'!$B$6,1,0)</f>
        <v/>
      </c>
      <c r="DC12" s="38">
        <f>IF('СРОКИ'!DC10='СРОКИ'!$B$6,1,0)</f>
        <v/>
      </c>
      <c r="DD12" s="38">
        <f>IF('СРОКИ'!DD10='СРОКИ'!$B$6,1,0)</f>
        <v/>
      </c>
      <c r="DE12" s="38">
        <f>IF('СРОКИ'!DE10='СРОКИ'!$B$6,1,0)</f>
        <v/>
      </c>
      <c r="DF12" s="38">
        <f>IF('СРОКИ'!DF10='СРОКИ'!$B$6,1,0)</f>
        <v/>
      </c>
      <c r="DG12" s="38">
        <f>IF('СРОКИ'!DG10='СРОКИ'!$B$6,1,0)</f>
        <v/>
      </c>
      <c r="DH12" s="38">
        <f>IF('СРОКИ'!DH10='СРОКИ'!$B$6,1,0)</f>
        <v/>
      </c>
      <c r="DI12" s="38">
        <f>IF('СРОКИ'!DI10='СРОКИ'!$B$6,1,0)</f>
        <v/>
      </c>
      <c r="DJ12" s="38">
        <f>IF('СРОКИ'!DJ10='СРОКИ'!$B$6,1,0)</f>
        <v/>
      </c>
      <c r="DK12" s="38">
        <f>IF('СРОКИ'!DK10='СРОКИ'!$B$6,1,0)</f>
        <v/>
      </c>
      <c r="DL12" s="38">
        <f>IF('СРОКИ'!DL10='СРОКИ'!$B$6,1,0)</f>
        <v/>
      </c>
      <c r="DM12" s="38">
        <f>IF('СРОКИ'!DM10='СРОКИ'!$B$6,1,0)</f>
        <v/>
      </c>
    </row>
    <row r="13">
      <c r="A13" s="36" t="inlineStr">
        <is>
          <t>Окно продаж (путь 1)</t>
        </is>
      </c>
      <c r="B13" s="10" t="n"/>
      <c r="C13" s="37" t="inlineStr">
        <is>
          <t>0/1</t>
        </is>
      </c>
      <c r="D13" s="38">
        <f>IF(AND('СРОКИ'!D10&gt;='СРОКИ'!$B$6,'СРОКИ'!D10&lt;='СРОКИ'!$B$7),1,0)</f>
        <v/>
      </c>
      <c r="E13" s="38">
        <f>IF(AND('СРОКИ'!E10&gt;='СРОКИ'!$B$6,'СРОКИ'!E10&lt;='СРОКИ'!$B$7),1,0)</f>
        <v/>
      </c>
      <c r="F13" s="38">
        <f>IF(AND('СРОКИ'!F10&gt;='СРОКИ'!$B$6,'СРОКИ'!F10&lt;='СРОКИ'!$B$7),1,0)</f>
        <v/>
      </c>
      <c r="G13" s="38">
        <f>IF(AND('СРОКИ'!G10&gt;='СРОКИ'!$B$6,'СРОКИ'!G10&lt;='СРОКИ'!$B$7),1,0)</f>
        <v/>
      </c>
      <c r="H13" s="38">
        <f>IF(AND('СРОКИ'!H10&gt;='СРОКИ'!$B$6,'СРОКИ'!H10&lt;='СРОКИ'!$B$7),1,0)</f>
        <v/>
      </c>
      <c r="I13" s="38">
        <f>IF(AND('СРОКИ'!I10&gt;='СРОКИ'!$B$6,'СРОКИ'!I10&lt;='СРОКИ'!$B$7),1,0)</f>
        <v/>
      </c>
      <c r="J13" s="38">
        <f>IF(AND('СРОКИ'!J10&gt;='СРОКИ'!$B$6,'СРОКИ'!J10&lt;='СРОКИ'!$B$7),1,0)</f>
        <v/>
      </c>
      <c r="K13" s="38">
        <f>IF(AND('СРОКИ'!K10&gt;='СРОКИ'!$B$6,'СРОКИ'!K10&lt;='СРОКИ'!$B$7),1,0)</f>
        <v/>
      </c>
      <c r="L13" s="38">
        <f>IF(AND('СРОКИ'!L10&gt;='СРОКИ'!$B$6,'СРОКИ'!L10&lt;='СРОКИ'!$B$7),1,0)</f>
        <v/>
      </c>
      <c r="M13" s="38">
        <f>IF(AND('СРОКИ'!M10&gt;='СРОКИ'!$B$6,'СРОКИ'!M10&lt;='СРОКИ'!$B$7),1,0)</f>
        <v/>
      </c>
      <c r="N13" s="38">
        <f>IF(AND('СРОКИ'!N10&gt;='СРОКИ'!$B$6,'СРОКИ'!N10&lt;='СРОКИ'!$B$7),1,0)</f>
        <v/>
      </c>
      <c r="O13" s="38">
        <f>IF(AND('СРОКИ'!O10&gt;='СРОКИ'!$B$6,'СРОКИ'!O10&lt;='СРОКИ'!$B$7),1,0)</f>
        <v/>
      </c>
      <c r="P13" s="38">
        <f>IF(AND('СРОКИ'!P10&gt;='СРОКИ'!$B$6,'СРОКИ'!P10&lt;='СРОКИ'!$B$7),1,0)</f>
        <v/>
      </c>
      <c r="Q13" s="38">
        <f>IF(AND('СРОКИ'!Q10&gt;='СРОКИ'!$B$6,'СРОКИ'!Q10&lt;='СРОКИ'!$B$7),1,0)</f>
        <v/>
      </c>
      <c r="R13" s="38">
        <f>IF(AND('СРОКИ'!R10&gt;='СРОКИ'!$B$6,'СРОКИ'!R10&lt;='СРОКИ'!$B$7),1,0)</f>
        <v/>
      </c>
      <c r="S13" s="38">
        <f>IF(AND('СРОКИ'!S10&gt;='СРОКИ'!$B$6,'СРОКИ'!S10&lt;='СРОКИ'!$B$7),1,0)</f>
        <v/>
      </c>
      <c r="T13" s="38">
        <f>IF(AND('СРОКИ'!T10&gt;='СРОКИ'!$B$6,'СРОКИ'!T10&lt;='СРОКИ'!$B$7),1,0)</f>
        <v/>
      </c>
      <c r="U13" s="38">
        <f>IF(AND('СРОКИ'!U10&gt;='СРОКИ'!$B$6,'СРОКИ'!U10&lt;='СРОКИ'!$B$7),1,0)</f>
        <v/>
      </c>
      <c r="V13" s="38">
        <f>IF(AND('СРОКИ'!V10&gt;='СРОКИ'!$B$6,'СРОКИ'!V10&lt;='СРОКИ'!$B$7),1,0)</f>
        <v/>
      </c>
      <c r="W13" s="38">
        <f>IF(AND('СРОКИ'!W10&gt;='СРОКИ'!$B$6,'СРОКИ'!W10&lt;='СРОКИ'!$B$7),1,0)</f>
        <v/>
      </c>
      <c r="X13" s="38">
        <f>IF(AND('СРОКИ'!X10&gt;='СРОКИ'!$B$6,'СРОКИ'!X10&lt;='СРОКИ'!$B$7),1,0)</f>
        <v/>
      </c>
      <c r="Y13" s="38">
        <f>IF(AND('СРОКИ'!Y10&gt;='СРОКИ'!$B$6,'СРОКИ'!Y10&lt;='СРОКИ'!$B$7),1,0)</f>
        <v/>
      </c>
      <c r="Z13" s="38">
        <f>IF(AND('СРОКИ'!Z10&gt;='СРОКИ'!$B$6,'СРОКИ'!Z10&lt;='СРОКИ'!$B$7),1,0)</f>
        <v/>
      </c>
      <c r="AA13" s="38">
        <f>IF(AND('СРОКИ'!AA10&gt;='СРОКИ'!$B$6,'СРОКИ'!AA10&lt;='СРОКИ'!$B$7),1,0)</f>
        <v/>
      </c>
      <c r="AB13" s="38">
        <f>IF(AND('СРОКИ'!AB10&gt;='СРОКИ'!$B$6,'СРОКИ'!AB10&lt;='СРОКИ'!$B$7),1,0)</f>
        <v/>
      </c>
      <c r="AC13" s="38">
        <f>IF(AND('СРОКИ'!AC10&gt;='СРОКИ'!$B$6,'СРОКИ'!AC10&lt;='СРОКИ'!$B$7),1,0)</f>
        <v/>
      </c>
      <c r="AD13" s="38">
        <f>IF(AND('СРОКИ'!AD10&gt;='СРОКИ'!$B$6,'СРОКИ'!AD10&lt;='СРОКИ'!$B$7),1,0)</f>
        <v/>
      </c>
      <c r="AE13" s="38">
        <f>IF(AND('СРОКИ'!AE10&gt;='СРОКИ'!$B$6,'СРОКИ'!AE10&lt;='СРОКИ'!$B$7),1,0)</f>
        <v/>
      </c>
      <c r="AF13" s="38">
        <f>IF(AND('СРОКИ'!AF10&gt;='СРОКИ'!$B$6,'СРОКИ'!AF10&lt;='СРОКИ'!$B$7),1,0)</f>
        <v/>
      </c>
      <c r="AG13" s="38">
        <f>IF(AND('СРОКИ'!AG10&gt;='СРОКИ'!$B$6,'СРОКИ'!AG10&lt;='СРОКИ'!$B$7),1,0)</f>
        <v/>
      </c>
      <c r="AH13" s="38">
        <f>IF(AND('СРОКИ'!AH10&gt;='СРОКИ'!$B$6,'СРОКИ'!AH10&lt;='СРОКИ'!$B$7),1,0)</f>
        <v/>
      </c>
      <c r="AI13" s="38">
        <f>IF(AND('СРОКИ'!AI10&gt;='СРОКИ'!$B$6,'СРОКИ'!AI10&lt;='СРОКИ'!$B$7),1,0)</f>
        <v/>
      </c>
      <c r="AJ13" s="38">
        <f>IF(AND('СРОКИ'!AJ10&gt;='СРОКИ'!$B$6,'СРОКИ'!AJ10&lt;='СРОКИ'!$B$7),1,0)</f>
        <v/>
      </c>
      <c r="AK13" s="38">
        <f>IF(AND('СРОКИ'!AK10&gt;='СРОКИ'!$B$6,'СРОКИ'!AK10&lt;='СРОКИ'!$B$7),1,0)</f>
        <v/>
      </c>
      <c r="AL13" s="38">
        <f>IF(AND('СРОКИ'!AL10&gt;='СРОКИ'!$B$6,'СРОКИ'!AL10&lt;='СРОКИ'!$B$7),1,0)</f>
        <v/>
      </c>
      <c r="AM13" s="38">
        <f>IF(AND('СРОКИ'!AM10&gt;='СРОКИ'!$B$6,'СРОКИ'!AM10&lt;='СРОКИ'!$B$7),1,0)</f>
        <v/>
      </c>
      <c r="AN13" s="38">
        <f>IF(AND('СРОКИ'!AN10&gt;='СРОКИ'!$B$6,'СРОКИ'!AN10&lt;='СРОКИ'!$B$7),1,0)</f>
        <v/>
      </c>
      <c r="AO13" s="38">
        <f>IF(AND('СРОКИ'!AO10&gt;='СРОКИ'!$B$6,'СРОКИ'!AO10&lt;='СРОКИ'!$B$7),1,0)</f>
        <v/>
      </c>
      <c r="AP13" s="38">
        <f>IF(AND('СРОКИ'!AP10&gt;='СРОКИ'!$B$6,'СРОКИ'!AP10&lt;='СРОКИ'!$B$7),1,0)</f>
        <v/>
      </c>
      <c r="AQ13" s="38">
        <f>IF(AND('СРОКИ'!AQ10&gt;='СРОКИ'!$B$6,'СРОКИ'!AQ10&lt;='СРОКИ'!$B$7),1,0)</f>
        <v/>
      </c>
      <c r="AR13" s="38">
        <f>IF(AND('СРОКИ'!AR10&gt;='СРОКИ'!$B$6,'СРОКИ'!AR10&lt;='СРОКИ'!$B$7),1,0)</f>
        <v/>
      </c>
      <c r="AS13" s="38">
        <f>IF(AND('СРОКИ'!AS10&gt;='СРОКИ'!$B$6,'СРОКИ'!AS10&lt;='СРОКИ'!$B$7),1,0)</f>
        <v/>
      </c>
      <c r="AT13" s="38">
        <f>IF(AND('СРОКИ'!AT10&gt;='СРОКИ'!$B$6,'СРОКИ'!AT10&lt;='СРОКИ'!$B$7),1,0)</f>
        <v/>
      </c>
      <c r="AU13" s="38">
        <f>IF(AND('СРОКИ'!AU10&gt;='СРОКИ'!$B$6,'СРОКИ'!AU10&lt;='СРОКИ'!$B$7),1,0)</f>
        <v/>
      </c>
      <c r="AV13" s="38">
        <f>IF(AND('СРОКИ'!AV10&gt;='СРОКИ'!$B$6,'СРОКИ'!AV10&lt;='СРОКИ'!$B$7),1,0)</f>
        <v/>
      </c>
      <c r="AW13" s="38">
        <f>IF(AND('СРОКИ'!AW10&gt;='СРОКИ'!$B$6,'СРОКИ'!AW10&lt;='СРОКИ'!$B$7),1,0)</f>
        <v/>
      </c>
      <c r="AX13" s="38">
        <f>IF(AND('СРОКИ'!AX10&gt;='СРОКИ'!$B$6,'СРОКИ'!AX10&lt;='СРОКИ'!$B$7),1,0)</f>
        <v/>
      </c>
      <c r="AY13" s="38">
        <f>IF(AND('СРОКИ'!AY10&gt;='СРОКИ'!$B$6,'СРОКИ'!AY10&lt;='СРОКИ'!$B$7),1,0)</f>
        <v/>
      </c>
      <c r="AZ13" s="38">
        <f>IF(AND('СРОКИ'!AZ10&gt;='СРОКИ'!$B$6,'СРОКИ'!AZ10&lt;='СРОКИ'!$B$7),1,0)</f>
        <v/>
      </c>
      <c r="BA13" s="38">
        <f>IF(AND('СРОКИ'!BA10&gt;='СРОКИ'!$B$6,'СРОКИ'!BA10&lt;='СРОКИ'!$B$7),1,0)</f>
        <v/>
      </c>
      <c r="BB13" s="38">
        <f>IF(AND('СРОКИ'!BB10&gt;='СРОКИ'!$B$6,'СРОКИ'!BB10&lt;='СРОКИ'!$B$7),1,0)</f>
        <v/>
      </c>
      <c r="BC13" s="38">
        <f>IF(AND('СРОКИ'!BC10&gt;='СРОКИ'!$B$6,'СРОКИ'!BC10&lt;='СРОКИ'!$B$7),1,0)</f>
        <v/>
      </c>
      <c r="BD13" s="38">
        <f>IF(AND('СРОКИ'!BD10&gt;='СРОКИ'!$B$6,'СРОКИ'!BD10&lt;='СРОКИ'!$B$7),1,0)</f>
        <v/>
      </c>
      <c r="BE13" s="38">
        <f>IF(AND('СРОКИ'!BE10&gt;='СРОКИ'!$B$6,'СРОКИ'!BE10&lt;='СРОКИ'!$B$7),1,0)</f>
        <v/>
      </c>
      <c r="BF13" s="38">
        <f>IF(AND('СРОКИ'!BF10&gt;='СРОКИ'!$B$6,'СРОКИ'!BF10&lt;='СРОКИ'!$B$7),1,0)</f>
        <v/>
      </c>
      <c r="BG13" s="38">
        <f>IF(AND('СРОКИ'!BG10&gt;='СРОКИ'!$B$6,'СРОКИ'!BG10&lt;='СРОКИ'!$B$7),1,0)</f>
        <v/>
      </c>
      <c r="BH13" s="38">
        <f>IF(AND('СРОКИ'!BH10&gt;='СРОКИ'!$B$6,'СРОКИ'!BH10&lt;='СРОКИ'!$B$7),1,0)</f>
        <v/>
      </c>
      <c r="BI13" s="38">
        <f>IF(AND('СРОКИ'!BI10&gt;='СРОКИ'!$B$6,'СРОКИ'!BI10&lt;='СРОКИ'!$B$7),1,0)</f>
        <v/>
      </c>
      <c r="BJ13" s="38">
        <f>IF(AND('СРОКИ'!BJ10&gt;='СРОКИ'!$B$6,'СРОКИ'!BJ10&lt;='СРОКИ'!$B$7),1,0)</f>
        <v/>
      </c>
      <c r="BK13" s="38">
        <f>IF(AND('СРОКИ'!BK10&gt;='СРОКИ'!$B$6,'СРОКИ'!BK10&lt;='СРОКИ'!$B$7),1,0)</f>
        <v/>
      </c>
      <c r="BL13" s="38">
        <f>IF(AND('СРОКИ'!BL10&gt;='СРОКИ'!$B$6,'СРОКИ'!BL10&lt;='СРОКИ'!$B$7),1,0)</f>
        <v/>
      </c>
      <c r="BM13" s="38">
        <f>IF(AND('СРОКИ'!BM10&gt;='СРОКИ'!$B$6,'СРОКИ'!BM10&lt;='СРОКИ'!$B$7),1,0)</f>
        <v/>
      </c>
      <c r="BN13" s="38">
        <f>IF(AND('СРОКИ'!BN10&gt;='СРОКИ'!$B$6,'СРОКИ'!BN10&lt;='СРОКИ'!$B$7),1,0)</f>
        <v/>
      </c>
      <c r="BO13" s="38">
        <f>IF(AND('СРОКИ'!BO10&gt;='СРОКИ'!$B$6,'СРОКИ'!BO10&lt;='СРОКИ'!$B$7),1,0)</f>
        <v/>
      </c>
      <c r="BP13" s="38">
        <f>IF(AND('СРОКИ'!BP10&gt;='СРОКИ'!$B$6,'СРОКИ'!BP10&lt;='СРОКИ'!$B$7),1,0)</f>
        <v/>
      </c>
      <c r="BQ13" s="38">
        <f>IF(AND('СРОКИ'!BQ10&gt;='СРОКИ'!$B$6,'СРОКИ'!BQ10&lt;='СРОКИ'!$B$7),1,0)</f>
        <v/>
      </c>
      <c r="BR13" s="38">
        <f>IF(AND('СРОКИ'!BR10&gt;='СРОКИ'!$B$6,'СРОКИ'!BR10&lt;='СРОКИ'!$B$7),1,0)</f>
        <v/>
      </c>
      <c r="BS13" s="38">
        <f>IF(AND('СРОКИ'!BS10&gt;='СРОКИ'!$B$6,'СРОКИ'!BS10&lt;='СРОКИ'!$B$7),1,0)</f>
        <v/>
      </c>
      <c r="BT13" s="38">
        <f>IF(AND('СРОКИ'!BT10&gt;='СРОКИ'!$B$6,'СРОКИ'!BT10&lt;='СРОКИ'!$B$7),1,0)</f>
        <v/>
      </c>
      <c r="BU13" s="38">
        <f>IF(AND('СРОКИ'!BU10&gt;='СРОКИ'!$B$6,'СРОКИ'!BU10&lt;='СРОКИ'!$B$7),1,0)</f>
        <v/>
      </c>
      <c r="BV13" s="38">
        <f>IF(AND('СРОКИ'!BV10&gt;='СРОКИ'!$B$6,'СРОКИ'!BV10&lt;='СРОКИ'!$B$7),1,0)</f>
        <v/>
      </c>
      <c r="BW13" s="38">
        <f>IF(AND('СРОКИ'!BW10&gt;='СРОКИ'!$B$6,'СРОКИ'!BW10&lt;='СРОКИ'!$B$7),1,0)</f>
        <v/>
      </c>
      <c r="BX13" s="38">
        <f>IF(AND('СРОКИ'!BX10&gt;='СРОКИ'!$B$6,'СРОКИ'!BX10&lt;='СРОКИ'!$B$7),1,0)</f>
        <v/>
      </c>
      <c r="BY13" s="38">
        <f>IF(AND('СРОКИ'!BY10&gt;='СРОКИ'!$B$6,'СРОКИ'!BY10&lt;='СРОКИ'!$B$7),1,0)</f>
        <v/>
      </c>
      <c r="BZ13" s="38">
        <f>IF(AND('СРОКИ'!BZ10&gt;='СРОКИ'!$B$6,'СРОКИ'!BZ10&lt;='СРОКИ'!$B$7),1,0)</f>
        <v/>
      </c>
      <c r="CA13" s="38">
        <f>IF(AND('СРОКИ'!CA10&gt;='СРОКИ'!$B$6,'СРОКИ'!CA10&lt;='СРОКИ'!$B$7),1,0)</f>
        <v/>
      </c>
      <c r="CB13" s="38">
        <f>IF(AND('СРОКИ'!CB10&gt;='СРОКИ'!$B$6,'СРОКИ'!CB10&lt;='СРОКИ'!$B$7),1,0)</f>
        <v/>
      </c>
      <c r="CC13" s="38">
        <f>IF(AND('СРОКИ'!CC10&gt;='СРОКИ'!$B$6,'СРОКИ'!CC10&lt;='СРОКИ'!$B$7),1,0)</f>
        <v/>
      </c>
      <c r="CD13" s="38">
        <f>IF(AND('СРОКИ'!CD10&gt;='СРОКИ'!$B$6,'СРОКИ'!CD10&lt;='СРОКИ'!$B$7),1,0)</f>
        <v/>
      </c>
      <c r="CE13" s="38">
        <f>IF(AND('СРОКИ'!CE10&gt;='СРОКИ'!$B$6,'СРОКИ'!CE10&lt;='СРОКИ'!$B$7),1,0)</f>
        <v/>
      </c>
      <c r="CF13" s="38">
        <f>IF(AND('СРОКИ'!CF10&gt;='СРОКИ'!$B$6,'СРОКИ'!CF10&lt;='СРОКИ'!$B$7),1,0)</f>
        <v/>
      </c>
      <c r="CG13" s="38">
        <f>IF(AND('СРОКИ'!CG10&gt;='СРОКИ'!$B$6,'СРОКИ'!CG10&lt;='СРОКИ'!$B$7),1,0)</f>
        <v/>
      </c>
      <c r="CH13" s="38">
        <f>IF(AND('СРОКИ'!CH10&gt;='СРОКИ'!$B$6,'СРОКИ'!CH10&lt;='СРОКИ'!$B$7),1,0)</f>
        <v/>
      </c>
      <c r="CI13" s="38">
        <f>IF(AND('СРОКИ'!CI10&gt;='СРОКИ'!$B$6,'СРОКИ'!CI10&lt;='СРОКИ'!$B$7),1,0)</f>
        <v/>
      </c>
      <c r="CJ13" s="38">
        <f>IF(AND('СРОКИ'!CJ10&gt;='СРОКИ'!$B$6,'СРОКИ'!CJ10&lt;='СРОКИ'!$B$7),1,0)</f>
        <v/>
      </c>
      <c r="CK13" s="38">
        <f>IF(AND('СРОКИ'!CK10&gt;='СРОКИ'!$B$6,'СРОКИ'!CK10&lt;='СРОКИ'!$B$7),1,0)</f>
        <v/>
      </c>
      <c r="CL13" s="38">
        <f>IF(AND('СРОКИ'!CL10&gt;='СРОКИ'!$B$6,'СРОКИ'!CL10&lt;='СРОКИ'!$B$7),1,0)</f>
        <v/>
      </c>
      <c r="CM13" s="38">
        <f>IF(AND('СРОКИ'!CM10&gt;='СРОКИ'!$B$6,'СРОКИ'!CM10&lt;='СРОКИ'!$B$7),1,0)</f>
        <v/>
      </c>
      <c r="CN13" s="38">
        <f>IF(AND('СРОКИ'!CN10&gt;='СРОКИ'!$B$6,'СРОКИ'!CN10&lt;='СРОКИ'!$B$7),1,0)</f>
        <v/>
      </c>
      <c r="CO13" s="38">
        <f>IF(AND('СРОКИ'!CO10&gt;='СРОКИ'!$B$6,'СРОКИ'!CO10&lt;='СРОКИ'!$B$7),1,0)</f>
        <v/>
      </c>
      <c r="CP13" s="38">
        <f>IF(AND('СРОКИ'!CP10&gt;='СРОКИ'!$B$6,'СРОКИ'!CP10&lt;='СРОКИ'!$B$7),1,0)</f>
        <v/>
      </c>
      <c r="CQ13" s="38">
        <f>IF(AND('СРОКИ'!CQ10&gt;='СРОКИ'!$B$6,'СРОКИ'!CQ10&lt;='СРОКИ'!$B$7),1,0)</f>
        <v/>
      </c>
      <c r="CR13" s="38">
        <f>IF(AND('СРОКИ'!CR10&gt;='СРОКИ'!$B$6,'СРОКИ'!CR10&lt;='СРОКИ'!$B$7),1,0)</f>
        <v/>
      </c>
      <c r="CS13" s="38">
        <f>IF(AND('СРОКИ'!CS10&gt;='СРОКИ'!$B$6,'СРОКИ'!CS10&lt;='СРОКИ'!$B$7),1,0)</f>
        <v/>
      </c>
      <c r="CT13" s="38">
        <f>IF(AND('СРОКИ'!CT10&gt;='СРОКИ'!$B$6,'СРОКИ'!CT10&lt;='СРОКИ'!$B$7),1,0)</f>
        <v/>
      </c>
      <c r="CU13" s="38">
        <f>IF(AND('СРОКИ'!CU10&gt;='СРОКИ'!$B$6,'СРОКИ'!CU10&lt;='СРОКИ'!$B$7),1,0)</f>
        <v/>
      </c>
      <c r="CV13" s="38">
        <f>IF(AND('СРОКИ'!CV10&gt;='СРОКИ'!$B$6,'СРОКИ'!CV10&lt;='СРОКИ'!$B$7),1,0)</f>
        <v/>
      </c>
      <c r="CW13" s="38">
        <f>IF(AND('СРОКИ'!CW10&gt;='СРОКИ'!$B$6,'СРОКИ'!CW10&lt;='СРОКИ'!$B$7),1,0)</f>
        <v/>
      </c>
      <c r="CX13" s="38">
        <f>IF(AND('СРОКИ'!CX10&gt;='СРОКИ'!$B$6,'СРОКИ'!CX10&lt;='СРОКИ'!$B$7),1,0)</f>
        <v/>
      </c>
      <c r="CY13" s="38">
        <f>IF(AND('СРОКИ'!CY10&gt;='СРОКИ'!$B$6,'СРОКИ'!CY10&lt;='СРОКИ'!$B$7),1,0)</f>
        <v/>
      </c>
      <c r="CZ13" s="38">
        <f>IF(AND('СРОКИ'!CZ10&gt;='СРОКИ'!$B$6,'СРОКИ'!CZ10&lt;='СРОКИ'!$B$7),1,0)</f>
        <v/>
      </c>
      <c r="DA13" s="38">
        <f>IF(AND('СРОКИ'!DA10&gt;='СРОКИ'!$B$6,'СРОКИ'!DA10&lt;='СРОКИ'!$B$7),1,0)</f>
        <v/>
      </c>
      <c r="DB13" s="38">
        <f>IF(AND('СРОКИ'!DB10&gt;='СРОКИ'!$B$6,'СРОКИ'!DB10&lt;='СРОКИ'!$B$7),1,0)</f>
        <v/>
      </c>
      <c r="DC13" s="38">
        <f>IF(AND('СРОКИ'!DC10&gt;='СРОКИ'!$B$6,'СРОКИ'!DC10&lt;='СРОКИ'!$B$7),1,0)</f>
        <v/>
      </c>
      <c r="DD13" s="38">
        <f>IF(AND('СРОКИ'!DD10&gt;='СРОКИ'!$B$6,'СРОКИ'!DD10&lt;='СРОКИ'!$B$7),1,0)</f>
        <v/>
      </c>
      <c r="DE13" s="38">
        <f>IF(AND('СРОКИ'!DE10&gt;='СРОКИ'!$B$6,'СРОКИ'!DE10&lt;='СРОКИ'!$B$7),1,0)</f>
        <v/>
      </c>
      <c r="DF13" s="38">
        <f>IF(AND('СРОКИ'!DF10&gt;='СРОКИ'!$B$6,'СРОКИ'!DF10&lt;='СРОКИ'!$B$7),1,0)</f>
        <v/>
      </c>
      <c r="DG13" s="38">
        <f>IF(AND('СРОКИ'!DG10&gt;='СРОКИ'!$B$6,'СРОКИ'!DG10&lt;='СРОКИ'!$B$7),1,0)</f>
        <v/>
      </c>
      <c r="DH13" s="38">
        <f>IF(AND('СРОКИ'!DH10&gt;='СРОКИ'!$B$6,'СРОКИ'!DH10&lt;='СРОКИ'!$B$7),1,0)</f>
        <v/>
      </c>
      <c r="DI13" s="38">
        <f>IF(AND('СРОКИ'!DI10&gt;='СРОКИ'!$B$6,'СРОКИ'!DI10&lt;='СРОКИ'!$B$7),1,0)</f>
        <v/>
      </c>
      <c r="DJ13" s="38">
        <f>IF(AND('СРОКИ'!DJ10&gt;='СРОКИ'!$B$6,'СРОКИ'!DJ10&lt;='СРОКИ'!$B$7),1,0)</f>
        <v/>
      </c>
      <c r="DK13" s="38">
        <f>IF(AND('СРОКИ'!DK10&gt;='СРОКИ'!$B$6,'СРОКИ'!DK10&lt;='СРОКИ'!$B$7),1,0)</f>
        <v/>
      </c>
      <c r="DL13" s="38">
        <f>IF(AND('СРОКИ'!DL10&gt;='СРОКИ'!$B$6,'СРОКИ'!DL10&lt;='СРОКИ'!$B$7),1,0)</f>
        <v/>
      </c>
      <c r="DM13" s="38">
        <f>IF(AND('СРОКИ'!DM10&gt;='СРОКИ'!$B$6,'СРОКИ'!DM10&lt;='СРОКИ'!$B$7),1,0)</f>
        <v/>
      </c>
    </row>
    <row r="14">
      <c r="A14" s="36" t="inlineStr">
        <is>
          <t>Месяц эксплуатации (путь 2)</t>
        </is>
      </c>
      <c r="B14" s="10" t="n"/>
      <c r="C14" s="37" t="inlineStr">
        <is>
          <t>№</t>
        </is>
      </c>
      <c r="D14" s="38">
        <f>IF('СРОКИ'!D10&gt;='СРОКИ'!$B$6,'СРОКИ'!D10-'СРОКИ'!$B$6+1,0)</f>
        <v/>
      </c>
      <c r="E14" s="38">
        <f>IF('СРОКИ'!E10&gt;='СРОКИ'!$B$6,'СРОКИ'!E10-'СРОКИ'!$B$6+1,0)</f>
        <v/>
      </c>
      <c r="F14" s="38">
        <f>IF('СРОКИ'!F10&gt;='СРОКИ'!$B$6,'СРОКИ'!F10-'СРОКИ'!$B$6+1,0)</f>
        <v/>
      </c>
      <c r="G14" s="38">
        <f>IF('СРОКИ'!G10&gt;='СРОКИ'!$B$6,'СРОКИ'!G10-'СРОКИ'!$B$6+1,0)</f>
        <v/>
      </c>
      <c r="H14" s="38">
        <f>IF('СРОКИ'!H10&gt;='СРОКИ'!$B$6,'СРОКИ'!H10-'СРОКИ'!$B$6+1,0)</f>
        <v/>
      </c>
      <c r="I14" s="38">
        <f>IF('СРОКИ'!I10&gt;='СРОКИ'!$B$6,'СРОКИ'!I10-'СРОКИ'!$B$6+1,0)</f>
        <v/>
      </c>
      <c r="J14" s="38">
        <f>IF('СРОКИ'!J10&gt;='СРОКИ'!$B$6,'СРОКИ'!J10-'СРОКИ'!$B$6+1,0)</f>
        <v/>
      </c>
      <c r="K14" s="38">
        <f>IF('СРОКИ'!K10&gt;='СРОКИ'!$B$6,'СРОКИ'!K10-'СРОКИ'!$B$6+1,0)</f>
        <v/>
      </c>
      <c r="L14" s="38">
        <f>IF('СРОКИ'!L10&gt;='СРОКИ'!$B$6,'СРОКИ'!L10-'СРОКИ'!$B$6+1,0)</f>
        <v/>
      </c>
      <c r="M14" s="38">
        <f>IF('СРОКИ'!M10&gt;='СРОКИ'!$B$6,'СРОКИ'!M10-'СРОКИ'!$B$6+1,0)</f>
        <v/>
      </c>
      <c r="N14" s="38">
        <f>IF('СРОКИ'!N10&gt;='СРОКИ'!$B$6,'СРОКИ'!N10-'СРОКИ'!$B$6+1,0)</f>
        <v/>
      </c>
      <c r="O14" s="38">
        <f>IF('СРОКИ'!O10&gt;='СРОКИ'!$B$6,'СРОКИ'!O10-'СРОКИ'!$B$6+1,0)</f>
        <v/>
      </c>
      <c r="P14" s="38">
        <f>IF('СРОКИ'!P10&gt;='СРОКИ'!$B$6,'СРОКИ'!P10-'СРОКИ'!$B$6+1,0)</f>
        <v/>
      </c>
      <c r="Q14" s="38">
        <f>IF('СРОКИ'!Q10&gt;='СРОКИ'!$B$6,'СРОКИ'!Q10-'СРОКИ'!$B$6+1,0)</f>
        <v/>
      </c>
      <c r="R14" s="38">
        <f>IF('СРОКИ'!R10&gt;='СРОКИ'!$B$6,'СРОКИ'!R10-'СРОКИ'!$B$6+1,0)</f>
        <v/>
      </c>
      <c r="S14" s="38">
        <f>IF('СРОКИ'!S10&gt;='СРОКИ'!$B$6,'СРОКИ'!S10-'СРОКИ'!$B$6+1,0)</f>
        <v/>
      </c>
      <c r="T14" s="38">
        <f>IF('СРОКИ'!T10&gt;='СРОКИ'!$B$6,'СРОКИ'!T10-'СРОКИ'!$B$6+1,0)</f>
        <v/>
      </c>
      <c r="U14" s="38">
        <f>IF('СРОКИ'!U10&gt;='СРОКИ'!$B$6,'СРОКИ'!U10-'СРОКИ'!$B$6+1,0)</f>
        <v/>
      </c>
      <c r="V14" s="38">
        <f>IF('СРОКИ'!V10&gt;='СРОКИ'!$B$6,'СРОКИ'!V10-'СРОКИ'!$B$6+1,0)</f>
        <v/>
      </c>
      <c r="W14" s="38">
        <f>IF('СРОКИ'!W10&gt;='СРОКИ'!$B$6,'СРОКИ'!W10-'СРОКИ'!$B$6+1,0)</f>
        <v/>
      </c>
      <c r="X14" s="38">
        <f>IF('СРОКИ'!X10&gt;='СРОКИ'!$B$6,'СРОКИ'!X10-'СРОКИ'!$B$6+1,0)</f>
        <v/>
      </c>
      <c r="Y14" s="38">
        <f>IF('СРОКИ'!Y10&gt;='СРОКИ'!$B$6,'СРОКИ'!Y10-'СРОКИ'!$B$6+1,0)</f>
        <v/>
      </c>
      <c r="Z14" s="38">
        <f>IF('СРОКИ'!Z10&gt;='СРОКИ'!$B$6,'СРОКИ'!Z10-'СРОКИ'!$B$6+1,0)</f>
        <v/>
      </c>
      <c r="AA14" s="38">
        <f>IF('СРОКИ'!AA10&gt;='СРОКИ'!$B$6,'СРОКИ'!AA10-'СРОКИ'!$B$6+1,0)</f>
        <v/>
      </c>
      <c r="AB14" s="38">
        <f>IF('СРОКИ'!AB10&gt;='СРОКИ'!$B$6,'СРОКИ'!AB10-'СРОКИ'!$B$6+1,0)</f>
        <v/>
      </c>
      <c r="AC14" s="38">
        <f>IF('СРОКИ'!AC10&gt;='СРОКИ'!$B$6,'СРОКИ'!AC10-'СРОКИ'!$B$6+1,0)</f>
        <v/>
      </c>
      <c r="AD14" s="38">
        <f>IF('СРОКИ'!AD10&gt;='СРОКИ'!$B$6,'СРОКИ'!AD10-'СРОКИ'!$B$6+1,0)</f>
        <v/>
      </c>
      <c r="AE14" s="38">
        <f>IF('СРОКИ'!AE10&gt;='СРОКИ'!$B$6,'СРОКИ'!AE10-'СРОКИ'!$B$6+1,0)</f>
        <v/>
      </c>
      <c r="AF14" s="38">
        <f>IF('СРОКИ'!AF10&gt;='СРОКИ'!$B$6,'СРОКИ'!AF10-'СРОКИ'!$B$6+1,0)</f>
        <v/>
      </c>
      <c r="AG14" s="38">
        <f>IF('СРОКИ'!AG10&gt;='СРОКИ'!$B$6,'СРОКИ'!AG10-'СРОКИ'!$B$6+1,0)</f>
        <v/>
      </c>
      <c r="AH14" s="38">
        <f>IF('СРОКИ'!AH10&gt;='СРОКИ'!$B$6,'СРОКИ'!AH10-'СРОКИ'!$B$6+1,0)</f>
        <v/>
      </c>
      <c r="AI14" s="38">
        <f>IF('СРОКИ'!AI10&gt;='СРОКИ'!$B$6,'СРОКИ'!AI10-'СРОКИ'!$B$6+1,0)</f>
        <v/>
      </c>
      <c r="AJ14" s="38">
        <f>IF('СРОКИ'!AJ10&gt;='СРОКИ'!$B$6,'СРОКИ'!AJ10-'СРОКИ'!$B$6+1,0)</f>
        <v/>
      </c>
      <c r="AK14" s="38">
        <f>IF('СРОКИ'!AK10&gt;='СРОКИ'!$B$6,'СРОКИ'!AK10-'СРОКИ'!$B$6+1,0)</f>
        <v/>
      </c>
      <c r="AL14" s="38">
        <f>IF('СРОКИ'!AL10&gt;='СРОКИ'!$B$6,'СРОКИ'!AL10-'СРОКИ'!$B$6+1,0)</f>
        <v/>
      </c>
      <c r="AM14" s="38">
        <f>IF('СРОКИ'!AM10&gt;='СРОКИ'!$B$6,'СРОКИ'!AM10-'СРОКИ'!$B$6+1,0)</f>
        <v/>
      </c>
      <c r="AN14" s="38">
        <f>IF('СРОКИ'!AN10&gt;='СРОКИ'!$B$6,'СРОКИ'!AN10-'СРОКИ'!$B$6+1,0)</f>
        <v/>
      </c>
      <c r="AO14" s="38">
        <f>IF('СРОКИ'!AO10&gt;='СРОКИ'!$B$6,'СРОКИ'!AO10-'СРОКИ'!$B$6+1,0)</f>
        <v/>
      </c>
      <c r="AP14" s="38">
        <f>IF('СРОКИ'!AP10&gt;='СРОКИ'!$B$6,'СРОКИ'!AP10-'СРОКИ'!$B$6+1,0)</f>
        <v/>
      </c>
      <c r="AQ14" s="38">
        <f>IF('СРОКИ'!AQ10&gt;='СРОКИ'!$B$6,'СРОКИ'!AQ10-'СРОКИ'!$B$6+1,0)</f>
        <v/>
      </c>
      <c r="AR14" s="38">
        <f>IF('СРОКИ'!AR10&gt;='СРОКИ'!$B$6,'СРОКИ'!AR10-'СРОКИ'!$B$6+1,0)</f>
        <v/>
      </c>
      <c r="AS14" s="38">
        <f>IF('СРОКИ'!AS10&gt;='СРОКИ'!$B$6,'СРОКИ'!AS10-'СРОКИ'!$B$6+1,0)</f>
        <v/>
      </c>
      <c r="AT14" s="38">
        <f>IF('СРОКИ'!AT10&gt;='СРОКИ'!$B$6,'СРОКИ'!AT10-'СРОКИ'!$B$6+1,0)</f>
        <v/>
      </c>
      <c r="AU14" s="38">
        <f>IF('СРОКИ'!AU10&gt;='СРОКИ'!$B$6,'СРОКИ'!AU10-'СРОКИ'!$B$6+1,0)</f>
        <v/>
      </c>
      <c r="AV14" s="38">
        <f>IF('СРОКИ'!AV10&gt;='СРОКИ'!$B$6,'СРОКИ'!AV10-'СРОКИ'!$B$6+1,0)</f>
        <v/>
      </c>
      <c r="AW14" s="38">
        <f>IF('СРОКИ'!AW10&gt;='СРОКИ'!$B$6,'СРОКИ'!AW10-'СРОКИ'!$B$6+1,0)</f>
        <v/>
      </c>
      <c r="AX14" s="38">
        <f>IF('СРОКИ'!AX10&gt;='СРОКИ'!$B$6,'СРОКИ'!AX10-'СРОКИ'!$B$6+1,0)</f>
        <v/>
      </c>
      <c r="AY14" s="38">
        <f>IF('СРОКИ'!AY10&gt;='СРОКИ'!$B$6,'СРОКИ'!AY10-'СРОКИ'!$B$6+1,0)</f>
        <v/>
      </c>
      <c r="AZ14" s="38">
        <f>IF('СРОКИ'!AZ10&gt;='СРОКИ'!$B$6,'СРОКИ'!AZ10-'СРОКИ'!$B$6+1,0)</f>
        <v/>
      </c>
      <c r="BA14" s="38">
        <f>IF('СРОКИ'!BA10&gt;='СРОКИ'!$B$6,'СРОКИ'!BA10-'СРОКИ'!$B$6+1,0)</f>
        <v/>
      </c>
      <c r="BB14" s="38">
        <f>IF('СРОКИ'!BB10&gt;='СРОКИ'!$B$6,'СРОКИ'!BB10-'СРОКИ'!$B$6+1,0)</f>
        <v/>
      </c>
      <c r="BC14" s="38">
        <f>IF('СРОКИ'!BC10&gt;='СРОКИ'!$B$6,'СРОКИ'!BC10-'СРОКИ'!$B$6+1,0)</f>
        <v/>
      </c>
      <c r="BD14" s="38">
        <f>IF('СРОКИ'!BD10&gt;='СРОКИ'!$B$6,'СРОКИ'!BD10-'СРОКИ'!$B$6+1,0)</f>
        <v/>
      </c>
      <c r="BE14" s="38">
        <f>IF('СРОКИ'!BE10&gt;='СРОКИ'!$B$6,'СРОКИ'!BE10-'СРОКИ'!$B$6+1,0)</f>
        <v/>
      </c>
      <c r="BF14" s="38">
        <f>IF('СРОКИ'!BF10&gt;='СРОКИ'!$B$6,'СРОКИ'!BF10-'СРОКИ'!$B$6+1,0)</f>
        <v/>
      </c>
      <c r="BG14" s="38">
        <f>IF('СРОКИ'!BG10&gt;='СРОКИ'!$B$6,'СРОКИ'!BG10-'СРОКИ'!$B$6+1,0)</f>
        <v/>
      </c>
      <c r="BH14" s="38">
        <f>IF('СРОКИ'!BH10&gt;='СРОКИ'!$B$6,'СРОКИ'!BH10-'СРОКИ'!$B$6+1,0)</f>
        <v/>
      </c>
      <c r="BI14" s="38">
        <f>IF('СРОКИ'!BI10&gt;='СРОКИ'!$B$6,'СРОКИ'!BI10-'СРОКИ'!$B$6+1,0)</f>
        <v/>
      </c>
      <c r="BJ14" s="38">
        <f>IF('СРОКИ'!BJ10&gt;='СРОКИ'!$B$6,'СРОКИ'!BJ10-'СРОКИ'!$B$6+1,0)</f>
        <v/>
      </c>
      <c r="BK14" s="38">
        <f>IF('СРОКИ'!BK10&gt;='СРОКИ'!$B$6,'СРОКИ'!BK10-'СРОКИ'!$B$6+1,0)</f>
        <v/>
      </c>
      <c r="BL14" s="38">
        <f>IF('СРОКИ'!BL10&gt;='СРОКИ'!$B$6,'СРОКИ'!BL10-'СРОКИ'!$B$6+1,0)</f>
        <v/>
      </c>
      <c r="BM14" s="38">
        <f>IF('СРОКИ'!BM10&gt;='СРОКИ'!$B$6,'СРОКИ'!BM10-'СРОКИ'!$B$6+1,0)</f>
        <v/>
      </c>
      <c r="BN14" s="38">
        <f>IF('СРОКИ'!BN10&gt;='СРОКИ'!$B$6,'СРОКИ'!BN10-'СРОКИ'!$B$6+1,0)</f>
        <v/>
      </c>
      <c r="BO14" s="38">
        <f>IF('СРОКИ'!BO10&gt;='СРОКИ'!$B$6,'СРОКИ'!BO10-'СРОКИ'!$B$6+1,0)</f>
        <v/>
      </c>
      <c r="BP14" s="38">
        <f>IF('СРОКИ'!BP10&gt;='СРОКИ'!$B$6,'СРОКИ'!BP10-'СРОКИ'!$B$6+1,0)</f>
        <v/>
      </c>
      <c r="BQ14" s="38">
        <f>IF('СРОКИ'!BQ10&gt;='СРОКИ'!$B$6,'СРОКИ'!BQ10-'СРОКИ'!$B$6+1,0)</f>
        <v/>
      </c>
      <c r="BR14" s="38">
        <f>IF('СРОКИ'!BR10&gt;='СРОКИ'!$B$6,'СРОКИ'!BR10-'СРОКИ'!$B$6+1,0)</f>
        <v/>
      </c>
      <c r="BS14" s="38">
        <f>IF('СРОКИ'!BS10&gt;='СРОКИ'!$B$6,'СРОКИ'!BS10-'СРОКИ'!$B$6+1,0)</f>
        <v/>
      </c>
      <c r="BT14" s="38">
        <f>IF('СРОКИ'!BT10&gt;='СРОКИ'!$B$6,'СРОКИ'!BT10-'СРОКИ'!$B$6+1,0)</f>
        <v/>
      </c>
      <c r="BU14" s="38">
        <f>IF('СРОКИ'!BU10&gt;='СРОКИ'!$B$6,'СРОКИ'!BU10-'СРОКИ'!$B$6+1,0)</f>
        <v/>
      </c>
      <c r="BV14" s="38">
        <f>IF('СРОКИ'!BV10&gt;='СРОКИ'!$B$6,'СРОКИ'!BV10-'СРОКИ'!$B$6+1,0)</f>
        <v/>
      </c>
      <c r="BW14" s="38">
        <f>IF('СРОКИ'!BW10&gt;='СРОКИ'!$B$6,'СРОКИ'!BW10-'СРОКИ'!$B$6+1,0)</f>
        <v/>
      </c>
      <c r="BX14" s="38">
        <f>IF('СРОКИ'!BX10&gt;='СРОКИ'!$B$6,'СРОКИ'!BX10-'СРОКИ'!$B$6+1,0)</f>
        <v/>
      </c>
      <c r="BY14" s="38">
        <f>IF('СРОКИ'!BY10&gt;='СРОКИ'!$B$6,'СРОКИ'!BY10-'СРОКИ'!$B$6+1,0)</f>
        <v/>
      </c>
      <c r="BZ14" s="38">
        <f>IF('СРОКИ'!BZ10&gt;='СРОКИ'!$B$6,'СРОКИ'!BZ10-'СРОКИ'!$B$6+1,0)</f>
        <v/>
      </c>
      <c r="CA14" s="38">
        <f>IF('СРОКИ'!CA10&gt;='СРОКИ'!$B$6,'СРОКИ'!CA10-'СРОКИ'!$B$6+1,0)</f>
        <v/>
      </c>
      <c r="CB14" s="38">
        <f>IF('СРОКИ'!CB10&gt;='СРОКИ'!$B$6,'СРОКИ'!CB10-'СРОКИ'!$B$6+1,0)</f>
        <v/>
      </c>
      <c r="CC14" s="38">
        <f>IF('СРОКИ'!CC10&gt;='СРОКИ'!$B$6,'СРОКИ'!CC10-'СРОКИ'!$B$6+1,0)</f>
        <v/>
      </c>
      <c r="CD14" s="38">
        <f>IF('СРОКИ'!CD10&gt;='СРОКИ'!$B$6,'СРОКИ'!CD10-'СРОКИ'!$B$6+1,0)</f>
        <v/>
      </c>
      <c r="CE14" s="38">
        <f>IF('СРОКИ'!CE10&gt;='СРОКИ'!$B$6,'СРОКИ'!CE10-'СРОКИ'!$B$6+1,0)</f>
        <v/>
      </c>
      <c r="CF14" s="38">
        <f>IF('СРОКИ'!CF10&gt;='СРОКИ'!$B$6,'СРОКИ'!CF10-'СРОКИ'!$B$6+1,0)</f>
        <v/>
      </c>
      <c r="CG14" s="38">
        <f>IF('СРОКИ'!CG10&gt;='СРОКИ'!$B$6,'СРОКИ'!CG10-'СРОКИ'!$B$6+1,0)</f>
        <v/>
      </c>
      <c r="CH14" s="38">
        <f>IF('СРОКИ'!CH10&gt;='СРОКИ'!$B$6,'СРОКИ'!CH10-'СРОКИ'!$B$6+1,0)</f>
        <v/>
      </c>
      <c r="CI14" s="38">
        <f>IF('СРОКИ'!CI10&gt;='СРОКИ'!$B$6,'СРОКИ'!CI10-'СРОКИ'!$B$6+1,0)</f>
        <v/>
      </c>
      <c r="CJ14" s="38">
        <f>IF('СРОКИ'!CJ10&gt;='СРОКИ'!$B$6,'СРОКИ'!CJ10-'СРОКИ'!$B$6+1,0)</f>
        <v/>
      </c>
      <c r="CK14" s="38">
        <f>IF('СРОКИ'!CK10&gt;='СРОКИ'!$B$6,'СРОКИ'!CK10-'СРОКИ'!$B$6+1,0)</f>
        <v/>
      </c>
      <c r="CL14" s="38">
        <f>IF('СРОКИ'!CL10&gt;='СРОКИ'!$B$6,'СРОКИ'!CL10-'СРОКИ'!$B$6+1,0)</f>
        <v/>
      </c>
      <c r="CM14" s="38">
        <f>IF('СРОКИ'!CM10&gt;='СРОКИ'!$B$6,'СРОКИ'!CM10-'СРОКИ'!$B$6+1,0)</f>
        <v/>
      </c>
      <c r="CN14" s="38">
        <f>IF('СРОКИ'!CN10&gt;='СРОКИ'!$B$6,'СРОКИ'!CN10-'СРОКИ'!$B$6+1,0)</f>
        <v/>
      </c>
      <c r="CO14" s="38">
        <f>IF('СРОКИ'!CO10&gt;='СРОКИ'!$B$6,'СРОКИ'!CO10-'СРОКИ'!$B$6+1,0)</f>
        <v/>
      </c>
      <c r="CP14" s="38">
        <f>IF('СРОКИ'!CP10&gt;='СРОКИ'!$B$6,'СРОКИ'!CP10-'СРОКИ'!$B$6+1,0)</f>
        <v/>
      </c>
      <c r="CQ14" s="38">
        <f>IF('СРОКИ'!CQ10&gt;='СРОКИ'!$B$6,'СРОКИ'!CQ10-'СРОКИ'!$B$6+1,0)</f>
        <v/>
      </c>
      <c r="CR14" s="38">
        <f>IF('СРОКИ'!CR10&gt;='СРОКИ'!$B$6,'СРОКИ'!CR10-'СРОКИ'!$B$6+1,0)</f>
        <v/>
      </c>
      <c r="CS14" s="38">
        <f>IF('СРОКИ'!CS10&gt;='СРОКИ'!$B$6,'СРОКИ'!CS10-'СРОКИ'!$B$6+1,0)</f>
        <v/>
      </c>
      <c r="CT14" s="38">
        <f>IF('СРОКИ'!CT10&gt;='СРОКИ'!$B$6,'СРОКИ'!CT10-'СРОКИ'!$B$6+1,0)</f>
        <v/>
      </c>
      <c r="CU14" s="38">
        <f>IF('СРОКИ'!CU10&gt;='СРОКИ'!$B$6,'СРОКИ'!CU10-'СРОКИ'!$B$6+1,0)</f>
        <v/>
      </c>
      <c r="CV14" s="38">
        <f>IF('СРОКИ'!CV10&gt;='СРОКИ'!$B$6,'СРОКИ'!CV10-'СРОКИ'!$B$6+1,0)</f>
        <v/>
      </c>
      <c r="CW14" s="38">
        <f>IF('СРОКИ'!CW10&gt;='СРОКИ'!$B$6,'СРОКИ'!CW10-'СРОКИ'!$B$6+1,0)</f>
        <v/>
      </c>
      <c r="CX14" s="38">
        <f>IF('СРОКИ'!CX10&gt;='СРОКИ'!$B$6,'СРОКИ'!CX10-'СРОКИ'!$B$6+1,0)</f>
        <v/>
      </c>
      <c r="CY14" s="38">
        <f>IF('СРОКИ'!CY10&gt;='СРОКИ'!$B$6,'СРОКИ'!CY10-'СРОКИ'!$B$6+1,0)</f>
        <v/>
      </c>
      <c r="CZ14" s="38">
        <f>IF('СРОКИ'!CZ10&gt;='СРОКИ'!$B$6,'СРОКИ'!CZ10-'СРОКИ'!$B$6+1,0)</f>
        <v/>
      </c>
      <c r="DA14" s="38">
        <f>IF('СРОКИ'!DA10&gt;='СРОКИ'!$B$6,'СРОКИ'!DA10-'СРОКИ'!$B$6+1,0)</f>
        <v/>
      </c>
      <c r="DB14" s="38">
        <f>IF('СРОКИ'!DB10&gt;='СРОКИ'!$B$6,'СРОКИ'!DB10-'СРОКИ'!$B$6+1,0)</f>
        <v/>
      </c>
      <c r="DC14" s="38">
        <f>IF('СРОКИ'!DC10&gt;='СРОКИ'!$B$6,'СРОКИ'!DC10-'СРОКИ'!$B$6+1,0)</f>
        <v/>
      </c>
      <c r="DD14" s="38">
        <f>IF('СРОКИ'!DD10&gt;='СРОКИ'!$B$6,'СРОКИ'!DD10-'СРОКИ'!$B$6+1,0)</f>
        <v/>
      </c>
      <c r="DE14" s="38">
        <f>IF('СРОКИ'!DE10&gt;='СРОКИ'!$B$6,'СРОКИ'!DE10-'СРОКИ'!$B$6+1,0)</f>
        <v/>
      </c>
      <c r="DF14" s="38">
        <f>IF('СРОКИ'!DF10&gt;='СРОКИ'!$B$6,'СРОКИ'!DF10-'СРОКИ'!$B$6+1,0)</f>
        <v/>
      </c>
      <c r="DG14" s="38">
        <f>IF('СРОКИ'!DG10&gt;='СРОКИ'!$B$6,'СРОКИ'!DG10-'СРОКИ'!$B$6+1,0)</f>
        <v/>
      </c>
      <c r="DH14" s="38">
        <f>IF('СРОКИ'!DH10&gt;='СРОКИ'!$B$6,'СРОКИ'!DH10-'СРОКИ'!$B$6+1,0)</f>
        <v/>
      </c>
      <c r="DI14" s="38">
        <f>IF('СРОКИ'!DI10&gt;='СРОКИ'!$B$6,'СРОКИ'!DI10-'СРОКИ'!$B$6+1,0)</f>
        <v/>
      </c>
      <c r="DJ14" s="38">
        <f>IF('СРОКИ'!DJ10&gt;='СРОКИ'!$B$6,'СРОКИ'!DJ10-'СРОКИ'!$B$6+1,0)</f>
        <v/>
      </c>
      <c r="DK14" s="38">
        <f>IF('СРОКИ'!DK10&gt;='СРОКИ'!$B$6,'СРОКИ'!DK10-'СРОКИ'!$B$6+1,0)</f>
        <v/>
      </c>
      <c r="DL14" s="38">
        <f>IF('СРОКИ'!DL10&gt;='СРОКИ'!$B$6,'СРОКИ'!DL10-'СРОКИ'!$B$6+1,0)</f>
        <v/>
      </c>
      <c r="DM14" s="38">
        <f>IF('СРОКИ'!DM10&gt;='СРОКИ'!$B$6,'СРОКИ'!DM10-'СРОКИ'!$B$6+1,0)</f>
        <v/>
      </c>
    </row>
    <row r="15">
      <c r="A15" s="36" t="inlineStr">
        <is>
          <t>Удержание (путь 2)</t>
        </is>
      </c>
      <c r="B15" s="10" t="n"/>
      <c r="C15" s="37" t="inlineStr">
        <is>
          <t>0/1</t>
        </is>
      </c>
      <c r="D15" s="38">
        <f>IF(AND('СРОКИ'!D14&gt;=1,'СРОКИ'!D14&lt;='СРОКИ'!$B$8),1,0)</f>
        <v/>
      </c>
      <c r="E15" s="38">
        <f>IF(AND('СРОКИ'!E14&gt;=1,'СРОКИ'!E14&lt;='СРОКИ'!$B$8),1,0)</f>
        <v/>
      </c>
      <c r="F15" s="38">
        <f>IF(AND('СРОКИ'!F14&gt;=1,'СРОКИ'!F14&lt;='СРОКИ'!$B$8),1,0)</f>
        <v/>
      </c>
      <c r="G15" s="38">
        <f>IF(AND('СРОКИ'!G14&gt;=1,'СРОКИ'!G14&lt;='СРОКИ'!$B$8),1,0)</f>
        <v/>
      </c>
      <c r="H15" s="38">
        <f>IF(AND('СРОКИ'!H14&gt;=1,'СРОКИ'!H14&lt;='СРОКИ'!$B$8),1,0)</f>
        <v/>
      </c>
      <c r="I15" s="38">
        <f>IF(AND('СРОКИ'!I14&gt;=1,'СРОКИ'!I14&lt;='СРОКИ'!$B$8),1,0)</f>
        <v/>
      </c>
      <c r="J15" s="38">
        <f>IF(AND('СРОКИ'!J14&gt;=1,'СРОКИ'!J14&lt;='СРОКИ'!$B$8),1,0)</f>
        <v/>
      </c>
      <c r="K15" s="38">
        <f>IF(AND('СРОКИ'!K14&gt;=1,'СРОКИ'!K14&lt;='СРОКИ'!$B$8),1,0)</f>
        <v/>
      </c>
      <c r="L15" s="38">
        <f>IF(AND('СРОКИ'!L14&gt;=1,'СРОКИ'!L14&lt;='СРОКИ'!$B$8),1,0)</f>
        <v/>
      </c>
      <c r="M15" s="38">
        <f>IF(AND('СРОКИ'!M14&gt;=1,'СРОКИ'!M14&lt;='СРОКИ'!$B$8),1,0)</f>
        <v/>
      </c>
      <c r="N15" s="38">
        <f>IF(AND('СРОКИ'!N14&gt;=1,'СРОКИ'!N14&lt;='СРОКИ'!$B$8),1,0)</f>
        <v/>
      </c>
      <c r="O15" s="38">
        <f>IF(AND('СРОКИ'!O14&gt;=1,'СРОКИ'!O14&lt;='СРОКИ'!$B$8),1,0)</f>
        <v/>
      </c>
      <c r="P15" s="38">
        <f>IF(AND('СРОКИ'!P14&gt;=1,'СРОКИ'!P14&lt;='СРОКИ'!$B$8),1,0)</f>
        <v/>
      </c>
      <c r="Q15" s="38">
        <f>IF(AND('СРОКИ'!Q14&gt;=1,'СРОКИ'!Q14&lt;='СРОКИ'!$B$8),1,0)</f>
        <v/>
      </c>
      <c r="R15" s="38">
        <f>IF(AND('СРОКИ'!R14&gt;=1,'СРОКИ'!R14&lt;='СРОКИ'!$B$8),1,0)</f>
        <v/>
      </c>
      <c r="S15" s="38">
        <f>IF(AND('СРОКИ'!S14&gt;=1,'СРОКИ'!S14&lt;='СРОКИ'!$B$8),1,0)</f>
        <v/>
      </c>
      <c r="T15" s="38">
        <f>IF(AND('СРОКИ'!T14&gt;=1,'СРОКИ'!T14&lt;='СРОКИ'!$B$8),1,0)</f>
        <v/>
      </c>
      <c r="U15" s="38">
        <f>IF(AND('СРОКИ'!U14&gt;=1,'СРОКИ'!U14&lt;='СРОКИ'!$B$8),1,0)</f>
        <v/>
      </c>
      <c r="V15" s="38">
        <f>IF(AND('СРОКИ'!V14&gt;=1,'СРОКИ'!V14&lt;='СРОКИ'!$B$8),1,0)</f>
        <v/>
      </c>
      <c r="W15" s="38">
        <f>IF(AND('СРОКИ'!W14&gt;=1,'СРОКИ'!W14&lt;='СРОКИ'!$B$8),1,0)</f>
        <v/>
      </c>
      <c r="X15" s="38">
        <f>IF(AND('СРОКИ'!X14&gt;=1,'СРОКИ'!X14&lt;='СРОКИ'!$B$8),1,0)</f>
        <v/>
      </c>
      <c r="Y15" s="38">
        <f>IF(AND('СРОКИ'!Y14&gt;=1,'СРОКИ'!Y14&lt;='СРОКИ'!$B$8),1,0)</f>
        <v/>
      </c>
      <c r="Z15" s="38">
        <f>IF(AND('СРОКИ'!Z14&gt;=1,'СРОКИ'!Z14&lt;='СРОКИ'!$B$8),1,0)</f>
        <v/>
      </c>
      <c r="AA15" s="38">
        <f>IF(AND('СРОКИ'!AA14&gt;=1,'СРОКИ'!AA14&lt;='СРОКИ'!$B$8),1,0)</f>
        <v/>
      </c>
      <c r="AB15" s="38">
        <f>IF(AND('СРОКИ'!AB14&gt;=1,'СРОКИ'!AB14&lt;='СРОКИ'!$B$8),1,0)</f>
        <v/>
      </c>
      <c r="AC15" s="38">
        <f>IF(AND('СРОКИ'!AC14&gt;=1,'СРОКИ'!AC14&lt;='СРОКИ'!$B$8),1,0)</f>
        <v/>
      </c>
      <c r="AD15" s="38">
        <f>IF(AND('СРОКИ'!AD14&gt;=1,'СРОКИ'!AD14&lt;='СРОКИ'!$B$8),1,0)</f>
        <v/>
      </c>
      <c r="AE15" s="38">
        <f>IF(AND('СРОКИ'!AE14&gt;=1,'СРОКИ'!AE14&lt;='СРОКИ'!$B$8),1,0)</f>
        <v/>
      </c>
      <c r="AF15" s="38">
        <f>IF(AND('СРОКИ'!AF14&gt;=1,'СРОКИ'!AF14&lt;='СРОКИ'!$B$8),1,0)</f>
        <v/>
      </c>
      <c r="AG15" s="38">
        <f>IF(AND('СРОКИ'!AG14&gt;=1,'СРОКИ'!AG14&lt;='СРОКИ'!$B$8),1,0)</f>
        <v/>
      </c>
      <c r="AH15" s="38">
        <f>IF(AND('СРОКИ'!AH14&gt;=1,'СРОКИ'!AH14&lt;='СРОКИ'!$B$8),1,0)</f>
        <v/>
      </c>
      <c r="AI15" s="38">
        <f>IF(AND('СРОКИ'!AI14&gt;=1,'СРОКИ'!AI14&lt;='СРОКИ'!$B$8),1,0)</f>
        <v/>
      </c>
      <c r="AJ15" s="38">
        <f>IF(AND('СРОКИ'!AJ14&gt;=1,'СРОКИ'!AJ14&lt;='СРОКИ'!$B$8),1,0)</f>
        <v/>
      </c>
      <c r="AK15" s="38">
        <f>IF(AND('СРОКИ'!AK14&gt;=1,'СРОКИ'!AK14&lt;='СРОКИ'!$B$8),1,0)</f>
        <v/>
      </c>
      <c r="AL15" s="38">
        <f>IF(AND('СРОКИ'!AL14&gt;=1,'СРОКИ'!AL14&lt;='СРОКИ'!$B$8),1,0)</f>
        <v/>
      </c>
      <c r="AM15" s="38">
        <f>IF(AND('СРОКИ'!AM14&gt;=1,'СРОКИ'!AM14&lt;='СРОКИ'!$B$8),1,0)</f>
        <v/>
      </c>
      <c r="AN15" s="38">
        <f>IF(AND('СРОКИ'!AN14&gt;=1,'СРОКИ'!AN14&lt;='СРОКИ'!$B$8),1,0)</f>
        <v/>
      </c>
      <c r="AO15" s="38">
        <f>IF(AND('СРОКИ'!AO14&gt;=1,'СРОКИ'!AO14&lt;='СРОКИ'!$B$8),1,0)</f>
        <v/>
      </c>
      <c r="AP15" s="38">
        <f>IF(AND('СРОКИ'!AP14&gt;=1,'СРОКИ'!AP14&lt;='СРОКИ'!$B$8),1,0)</f>
        <v/>
      </c>
      <c r="AQ15" s="38">
        <f>IF(AND('СРОКИ'!AQ14&gt;=1,'СРОКИ'!AQ14&lt;='СРОКИ'!$B$8),1,0)</f>
        <v/>
      </c>
      <c r="AR15" s="38">
        <f>IF(AND('СРОКИ'!AR14&gt;=1,'СРОКИ'!AR14&lt;='СРОКИ'!$B$8),1,0)</f>
        <v/>
      </c>
      <c r="AS15" s="38">
        <f>IF(AND('СРОКИ'!AS14&gt;=1,'СРОКИ'!AS14&lt;='СРОКИ'!$B$8),1,0)</f>
        <v/>
      </c>
      <c r="AT15" s="38">
        <f>IF(AND('СРОКИ'!AT14&gt;=1,'СРОКИ'!AT14&lt;='СРОКИ'!$B$8),1,0)</f>
        <v/>
      </c>
      <c r="AU15" s="38">
        <f>IF(AND('СРОКИ'!AU14&gt;=1,'СРОКИ'!AU14&lt;='СРОКИ'!$B$8),1,0)</f>
        <v/>
      </c>
      <c r="AV15" s="38">
        <f>IF(AND('СРОКИ'!AV14&gt;=1,'СРОКИ'!AV14&lt;='СРОКИ'!$B$8),1,0)</f>
        <v/>
      </c>
      <c r="AW15" s="38">
        <f>IF(AND('СРОКИ'!AW14&gt;=1,'СРОКИ'!AW14&lt;='СРОКИ'!$B$8),1,0)</f>
        <v/>
      </c>
      <c r="AX15" s="38">
        <f>IF(AND('СРОКИ'!AX14&gt;=1,'СРОКИ'!AX14&lt;='СРОКИ'!$B$8),1,0)</f>
        <v/>
      </c>
      <c r="AY15" s="38">
        <f>IF(AND('СРОКИ'!AY14&gt;=1,'СРОКИ'!AY14&lt;='СРОКИ'!$B$8),1,0)</f>
        <v/>
      </c>
      <c r="AZ15" s="38">
        <f>IF(AND('СРОКИ'!AZ14&gt;=1,'СРОКИ'!AZ14&lt;='СРОКИ'!$B$8),1,0)</f>
        <v/>
      </c>
      <c r="BA15" s="38">
        <f>IF(AND('СРОКИ'!BA14&gt;=1,'СРОКИ'!BA14&lt;='СРОКИ'!$B$8),1,0)</f>
        <v/>
      </c>
      <c r="BB15" s="38">
        <f>IF(AND('СРОКИ'!BB14&gt;=1,'СРОКИ'!BB14&lt;='СРОКИ'!$B$8),1,0)</f>
        <v/>
      </c>
      <c r="BC15" s="38">
        <f>IF(AND('СРОКИ'!BC14&gt;=1,'СРОКИ'!BC14&lt;='СРОКИ'!$B$8),1,0)</f>
        <v/>
      </c>
      <c r="BD15" s="38">
        <f>IF(AND('СРОКИ'!BD14&gt;=1,'СРОКИ'!BD14&lt;='СРОКИ'!$B$8),1,0)</f>
        <v/>
      </c>
      <c r="BE15" s="38">
        <f>IF(AND('СРОКИ'!BE14&gt;=1,'СРОКИ'!BE14&lt;='СРОКИ'!$B$8),1,0)</f>
        <v/>
      </c>
      <c r="BF15" s="38">
        <f>IF(AND('СРОКИ'!BF14&gt;=1,'СРОКИ'!BF14&lt;='СРОКИ'!$B$8),1,0)</f>
        <v/>
      </c>
      <c r="BG15" s="38">
        <f>IF(AND('СРОКИ'!BG14&gt;=1,'СРОКИ'!BG14&lt;='СРОКИ'!$B$8),1,0)</f>
        <v/>
      </c>
      <c r="BH15" s="38">
        <f>IF(AND('СРОКИ'!BH14&gt;=1,'СРОКИ'!BH14&lt;='СРОКИ'!$B$8),1,0)</f>
        <v/>
      </c>
      <c r="BI15" s="38">
        <f>IF(AND('СРОКИ'!BI14&gt;=1,'СРОКИ'!BI14&lt;='СРОКИ'!$B$8),1,0)</f>
        <v/>
      </c>
      <c r="BJ15" s="38">
        <f>IF(AND('СРОКИ'!BJ14&gt;=1,'СРОКИ'!BJ14&lt;='СРОКИ'!$B$8),1,0)</f>
        <v/>
      </c>
      <c r="BK15" s="38">
        <f>IF(AND('СРОКИ'!BK14&gt;=1,'СРОКИ'!BK14&lt;='СРОКИ'!$B$8),1,0)</f>
        <v/>
      </c>
      <c r="BL15" s="38">
        <f>IF(AND('СРОКИ'!BL14&gt;=1,'СРОКИ'!BL14&lt;='СРОКИ'!$B$8),1,0)</f>
        <v/>
      </c>
      <c r="BM15" s="38">
        <f>IF(AND('СРОКИ'!BM14&gt;=1,'СРОКИ'!BM14&lt;='СРОКИ'!$B$8),1,0)</f>
        <v/>
      </c>
      <c r="BN15" s="38">
        <f>IF(AND('СРОКИ'!BN14&gt;=1,'СРОКИ'!BN14&lt;='СРОКИ'!$B$8),1,0)</f>
        <v/>
      </c>
      <c r="BO15" s="38">
        <f>IF(AND('СРОКИ'!BO14&gt;=1,'СРОКИ'!BO14&lt;='СРОКИ'!$B$8),1,0)</f>
        <v/>
      </c>
      <c r="BP15" s="38">
        <f>IF(AND('СРОКИ'!BP14&gt;=1,'СРОКИ'!BP14&lt;='СРОКИ'!$B$8),1,0)</f>
        <v/>
      </c>
      <c r="BQ15" s="38">
        <f>IF(AND('СРОКИ'!BQ14&gt;=1,'СРОКИ'!BQ14&lt;='СРОКИ'!$B$8),1,0)</f>
        <v/>
      </c>
      <c r="BR15" s="38">
        <f>IF(AND('СРОКИ'!BR14&gt;=1,'СРОКИ'!BR14&lt;='СРОКИ'!$B$8),1,0)</f>
        <v/>
      </c>
      <c r="BS15" s="38">
        <f>IF(AND('СРОКИ'!BS14&gt;=1,'СРОКИ'!BS14&lt;='СРОКИ'!$B$8),1,0)</f>
        <v/>
      </c>
      <c r="BT15" s="38">
        <f>IF(AND('СРОКИ'!BT14&gt;=1,'СРОКИ'!BT14&lt;='СРОКИ'!$B$8),1,0)</f>
        <v/>
      </c>
      <c r="BU15" s="38">
        <f>IF(AND('СРОКИ'!BU14&gt;=1,'СРОКИ'!BU14&lt;='СРОКИ'!$B$8),1,0)</f>
        <v/>
      </c>
      <c r="BV15" s="38">
        <f>IF(AND('СРОКИ'!BV14&gt;=1,'СРОКИ'!BV14&lt;='СРОКИ'!$B$8),1,0)</f>
        <v/>
      </c>
      <c r="BW15" s="38">
        <f>IF(AND('СРОКИ'!BW14&gt;=1,'СРОКИ'!BW14&lt;='СРОКИ'!$B$8),1,0)</f>
        <v/>
      </c>
      <c r="BX15" s="38">
        <f>IF(AND('СРОКИ'!BX14&gt;=1,'СРОКИ'!BX14&lt;='СРОКИ'!$B$8),1,0)</f>
        <v/>
      </c>
      <c r="BY15" s="38">
        <f>IF(AND('СРОКИ'!BY14&gt;=1,'СРОКИ'!BY14&lt;='СРОКИ'!$B$8),1,0)</f>
        <v/>
      </c>
      <c r="BZ15" s="38">
        <f>IF(AND('СРОКИ'!BZ14&gt;=1,'СРОКИ'!BZ14&lt;='СРОКИ'!$B$8),1,0)</f>
        <v/>
      </c>
      <c r="CA15" s="38">
        <f>IF(AND('СРОКИ'!CA14&gt;=1,'СРОКИ'!CA14&lt;='СРОКИ'!$B$8),1,0)</f>
        <v/>
      </c>
      <c r="CB15" s="38">
        <f>IF(AND('СРОКИ'!CB14&gt;=1,'СРОКИ'!CB14&lt;='СРОКИ'!$B$8),1,0)</f>
        <v/>
      </c>
      <c r="CC15" s="38">
        <f>IF(AND('СРОКИ'!CC14&gt;=1,'СРОКИ'!CC14&lt;='СРОКИ'!$B$8),1,0)</f>
        <v/>
      </c>
      <c r="CD15" s="38">
        <f>IF(AND('СРОКИ'!CD14&gt;=1,'СРОКИ'!CD14&lt;='СРОКИ'!$B$8),1,0)</f>
        <v/>
      </c>
      <c r="CE15" s="38">
        <f>IF(AND('СРОКИ'!CE14&gt;=1,'СРОКИ'!CE14&lt;='СРОКИ'!$B$8),1,0)</f>
        <v/>
      </c>
      <c r="CF15" s="38">
        <f>IF(AND('СРОКИ'!CF14&gt;=1,'СРОКИ'!CF14&lt;='СРОКИ'!$B$8),1,0)</f>
        <v/>
      </c>
      <c r="CG15" s="38">
        <f>IF(AND('СРОКИ'!CG14&gt;=1,'СРОКИ'!CG14&lt;='СРОКИ'!$B$8),1,0)</f>
        <v/>
      </c>
      <c r="CH15" s="38">
        <f>IF(AND('СРОКИ'!CH14&gt;=1,'СРОКИ'!CH14&lt;='СРОКИ'!$B$8),1,0)</f>
        <v/>
      </c>
      <c r="CI15" s="38">
        <f>IF(AND('СРОКИ'!CI14&gt;=1,'СРОКИ'!CI14&lt;='СРОКИ'!$B$8),1,0)</f>
        <v/>
      </c>
      <c r="CJ15" s="38">
        <f>IF(AND('СРОКИ'!CJ14&gt;=1,'СРОКИ'!CJ14&lt;='СРОКИ'!$B$8),1,0)</f>
        <v/>
      </c>
      <c r="CK15" s="38">
        <f>IF(AND('СРОКИ'!CK14&gt;=1,'СРОКИ'!CK14&lt;='СРОКИ'!$B$8),1,0)</f>
        <v/>
      </c>
      <c r="CL15" s="38">
        <f>IF(AND('СРОКИ'!CL14&gt;=1,'СРОКИ'!CL14&lt;='СРОКИ'!$B$8),1,0)</f>
        <v/>
      </c>
      <c r="CM15" s="38">
        <f>IF(AND('СРОКИ'!CM14&gt;=1,'СРОКИ'!CM14&lt;='СРОКИ'!$B$8),1,0)</f>
        <v/>
      </c>
      <c r="CN15" s="38">
        <f>IF(AND('СРОКИ'!CN14&gt;=1,'СРОКИ'!CN14&lt;='СРОКИ'!$B$8),1,0)</f>
        <v/>
      </c>
      <c r="CO15" s="38">
        <f>IF(AND('СРОКИ'!CO14&gt;=1,'СРОКИ'!CO14&lt;='СРОКИ'!$B$8),1,0)</f>
        <v/>
      </c>
      <c r="CP15" s="38">
        <f>IF(AND('СРОКИ'!CP14&gt;=1,'СРОКИ'!CP14&lt;='СРОКИ'!$B$8),1,0)</f>
        <v/>
      </c>
      <c r="CQ15" s="38">
        <f>IF(AND('СРОКИ'!CQ14&gt;=1,'СРОКИ'!CQ14&lt;='СРОКИ'!$B$8),1,0)</f>
        <v/>
      </c>
      <c r="CR15" s="38">
        <f>IF(AND('СРОКИ'!CR14&gt;=1,'СРОКИ'!CR14&lt;='СРОКИ'!$B$8),1,0)</f>
        <v/>
      </c>
      <c r="CS15" s="38">
        <f>IF(AND('СРОКИ'!CS14&gt;=1,'СРОКИ'!CS14&lt;='СРОКИ'!$B$8),1,0)</f>
        <v/>
      </c>
      <c r="CT15" s="38">
        <f>IF(AND('СРОКИ'!CT14&gt;=1,'СРОКИ'!CT14&lt;='СРОКИ'!$B$8),1,0)</f>
        <v/>
      </c>
      <c r="CU15" s="38">
        <f>IF(AND('СРОКИ'!CU14&gt;=1,'СРОКИ'!CU14&lt;='СРОКИ'!$B$8),1,0)</f>
        <v/>
      </c>
      <c r="CV15" s="38">
        <f>IF(AND('СРОКИ'!CV14&gt;=1,'СРОКИ'!CV14&lt;='СРОКИ'!$B$8),1,0)</f>
        <v/>
      </c>
      <c r="CW15" s="38">
        <f>IF(AND('СРОКИ'!CW14&gt;=1,'СРОКИ'!CW14&lt;='СРОКИ'!$B$8),1,0)</f>
        <v/>
      </c>
      <c r="CX15" s="38">
        <f>IF(AND('СРОКИ'!CX14&gt;=1,'СРОКИ'!CX14&lt;='СРОКИ'!$B$8),1,0)</f>
        <v/>
      </c>
      <c r="CY15" s="38">
        <f>IF(AND('СРОКИ'!CY14&gt;=1,'СРОКИ'!CY14&lt;='СРОКИ'!$B$8),1,0)</f>
        <v/>
      </c>
      <c r="CZ15" s="38">
        <f>IF(AND('СРОКИ'!CZ14&gt;=1,'СРОКИ'!CZ14&lt;='СРОКИ'!$B$8),1,0)</f>
        <v/>
      </c>
      <c r="DA15" s="38">
        <f>IF(AND('СРОКИ'!DA14&gt;=1,'СРОКИ'!DA14&lt;='СРОКИ'!$B$8),1,0)</f>
        <v/>
      </c>
      <c r="DB15" s="38">
        <f>IF(AND('СРОКИ'!DB14&gt;=1,'СРОКИ'!DB14&lt;='СРОКИ'!$B$8),1,0)</f>
        <v/>
      </c>
      <c r="DC15" s="38">
        <f>IF(AND('СРОКИ'!DC14&gt;=1,'СРОКИ'!DC14&lt;='СРОКИ'!$B$8),1,0)</f>
        <v/>
      </c>
      <c r="DD15" s="38">
        <f>IF(AND('СРОКИ'!DD14&gt;=1,'СРОКИ'!DD14&lt;='СРОКИ'!$B$8),1,0)</f>
        <v/>
      </c>
      <c r="DE15" s="38">
        <f>IF(AND('СРОКИ'!DE14&gt;=1,'СРОКИ'!DE14&lt;='СРОКИ'!$B$8),1,0)</f>
        <v/>
      </c>
      <c r="DF15" s="38">
        <f>IF(AND('СРОКИ'!DF14&gt;=1,'СРОКИ'!DF14&lt;='СРОКИ'!$B$8),1,0)</f>
        <v/>
      </c>
      <c r="DG15" s="38">
        <f>IF(AND('СРОКИ'!DG14&gt;=1,'СРОКИ'!DG14&lt;='СРОКИ'!$B$8),1,0)</f>
        <v/>
      </c>
      <c r="DH15" s="38">
        <f>IF(AND('СРОКИ'!DH14&gt;=1,'СРОКИ'!DH14&lt;='СРОКИ'!$B$8),1,0)</f>
        <v/>
      </c>
      <c r="DI15" s="38">
        <f>IF(AND('СРОКИ'!DI14&gt;=1,'СРОКИ'!DI14&lt;='СРОКИ'!$B$8),1,0)</f>
        <v/>
      </c>
      <c r="DJ15" s="38">
        <f>IF(AND('СРОКИ'!DJ14&gt;=1,'СРОКИ'!DJ14&lt;='СРОКИ'!$B$8),1,0)</f>
        <v/>
      </c>
      <c r="DK15" s="38">
        <f>IF(AND('СРОКИ'!DK14&gt;=1,'СРОКИ'!DK14&lt;='СРОКИ'!$B$8),1,0)</f>
        <v/>
      </c>
      <c r="DL15" s="38">
        <f>IF(AND('СРОКИ'!DL14&gt;=1,'СРОКИ'!DL14&lt;='СРОКИ'!$B$8),1,0)</f>
        <v/>
      </c>
      <c r="DM15" s="38">
        <f>IF(AND('СРОКИ'!DM14&gt;=1,'СРОКИ'!DM14&lt;='СРОКИ'!$B$8),1,0)</f>
        <v/>
      </c>
    </row>
    <row r="16">
      <c r="A16" s="36" t="inlineStr">
        <is>
          <t>Год покупателя после продажи здания</t>
        </is>
      </c>
      <c r="B16" s="10" t="n"/>
      <c r="C16" s="37" t="inlineStr">
        <is>
          <t>0/1</t>
        </is>
      </c>
      <c r="D16" s="38">
        <f>IF(AND('СРОКИ'!D14&gt;'СРОКИ'!$B$8,'СРОКИ'!D14&lt;='СРОКИ'!$B$8+12),1,0)</f>
        <v/>
      </c>
      <c r="E16" s="38">
        <f>IF(AND('СРОКИ'!E14&gt;'СРОКИ'!$B$8,'СРОКИ'!E14&lt;='СРОКИ'!$B$8+12),1,0)</f>
        <v/>
      </c>
      <c r="F16" s="38">
        <f>IF(AND('СРОКИ'!F14&gt;'СРОКИ'!$B$8,'СРОКИ'!F14&lt;='СРОКИ'!$B$8+12),1,0)</f>
        <v/>
      </c>
      <c r="G16" s="38">
        <f>IF(AND('СРОКИ'!G14&gt;'СРОКИ'!$B$8,'СРОКИ'!G14&lt;='СРОКИ'!$B$8+12),1,0)</f>
        <v/>
      </c>
      <c r="H16" s="38">
        <f>IF(AND('СРОКИ'!H14&gt;'СРОКИ'!$B$8,'СРОКИ'!H14&lt;='СРОКИ'!$B$8+12),1,0)</f>
        <v/>
      </c>
      <c r="I16" s="38">
        <f>IF(AND('СРОКИ'!I14&gt;'СРОКИ'!$B$8,'СРОКИ'!I14&lt;='СРОКИ'!$B$8+12),1,0)</f>
        <v/>
      </c>
      <c r="J16" s="38">
        <f>IF(AND('СРОКИ'!J14&gt;'СРОКИ'!$B$8,'СРОКИ'!J14&lt;='СРОКИ'!$B$8+12),1,0)</f>
        <v/>
      </c>
      <c r="K16" s="38">
        <f>IF(AND('СРОКИ'!K14&gt;'СРОКИ'!$B$8,'СРОКИ'!K14&lt;='СРОКИ'!$B$8+12),1,0)</f>
        <v/>
      </c>
      <c r="L16" s="38">
        <f>IF(AND('СРОКИ'!L14&gt;'СРОКИ'!$B$8,'СРОКИ'!L14&lt;='СРОКИ'!$B$8+12),1,0)</f>
        <v/>
      </c>
      <c r="M16" s="38">
        <f>IF(AND('СРОКИ'!M14&gt;'СРОКИ'!$B$8,'СРОКИ'!M14&lt;='СРОКИ'!$B$8+12),1,0)</f>
        <v/>
      </c>
      <c r="N16" s="38">
        <f>IF(AND('СРОКИ'!N14&gt;'СРОКИ'!$B$8,'СРОКИ'!N14&lt;='СРОКИ'!$B$8+12),1,0)</f>
        <v/>
      </c>
      <c r="O16" s="38">
        <f>IF(AND('СРОКИ'!O14&gt;'СРОКИ'!$B$8,'СРОКИ'!O14&lt;='СРОКИ'!$B$8+12),1,0)</f>
        <v/>
      </c>
      <c r="P16" s="38">
        <f>IF(AND('СРОКИ'!P14&gt;'СРОКИ'!$B$8,'СРОКИ'!P14&lt;='СРОКИ'!$B$8+12),1,0)</f>
        <v/>
      </c>
      <c r="Q16" s="38">
        <f>IF(AND('СРОКИ'!Q14&gt;'СРОКИ'!$B$8,'СРОКИ'!Q14&lt;='СРОКИ'!$B$8+12),1,0)</f>
        <v/>
      </c>
      <c r="R16" s="38">
        <f>IF(AND('СРОКИ'!R14&gt;'СРОКИ'!$B$8,'СРОКИ'!R14&lt;='СРОКИ'!$B$8+12),1,0)</f>
        <v/>
      </c>
      <c r="S16" s="38">
        <f>IF(AND('СРОКИ'!S14&gt;'СРОКИ'!$B$8,'СРОКИ'!S14&lt;='СРОКИ'!$B$8+12),1,0)</f>
        <v/>
      </c>
      <c r="T16" s="38">
        <f>IF(AND('СРОКИ'!T14&gt;'СРОКИ'!$B$8,'СРОКИ'!T14&lt;='СРОКИ'!$B$8+12),1,0)</f>
        <v/>
      </c>
      <c r="U16" s="38">
        <f>IF(AND('СРОКИ'!U14&gt;'СРОКИ'!$B$8,'СРОКИ'!U14&lt;='СРОКИ'!$B$8+12),1,0)</f>
        <v/>
      </c>
      <c r="V16" s="38">
        <f>IF(AND('СРОКИ'!V14&gt;'СРОКИ'!$B$8,'СРОКИ'!V14&lt;='СРОКИ'!$B$8+12),1,0)</f>
        <v/>
      </c>
      <c r="W16" s="38">
        <f>IF(AND('СРОКИ'!W14&gt;'СРОКИ'!$B$8,'СРОКИ'!W14&lt;='СРОКИ'!$B$8+12),1,0)</f>
        <v/>
      </c>
      <c r="X16" s="38">
        <f>IF(AND('СРОКИ'!X14&gt;'СРОКИ'!$B$8,'СРОКИ'!X14&lt;='СРОКИ'!$B$8+12),1,0)</f>
        <v/>
      </c>
      <c r="Y16" s="38">
        <f>IF(AND('СРОКИ'!Y14&gt;'СРОКИ'!$B$8,'СРОКИ'!Y14&lt;='СРОКИ'!$B$8+12),1,0)</f>
        <v/>
      </c>
      <c r="Z16" s="38">
        <f>IF(AND('СРОКИ'!Z14&gt;'СРОКИ'!$B$8,'СРОКИ'!Z14&lt;='СРОКИ'!$B$8+12),1,0)</f>
        <v/>
      </c>
      <c r="AA16" s="38">
        <f>IF(AND('СРОКИ'!AA14&gt;'СРОКИ'!$B$8,'СРОКИ'!AA14&lt;='СРОКИ'!$B$8+12),1,0)</f>
        <v/>
      </c>
      <c r="AB16" s="38">
        <f>IF(AND('СРОКИ'!AB14&gt;'СРОКИ'!$B$8,'СРОКИ'!AB14&lt;='СРОКИ'!$B$8+12),1,0)</f>
        <v/>
      </c>
      <c r="AC16" s="38">
        <f>IF(AND('СРОКИ'!AC14&gt;'СРОКИ'!$B$8,'СРОКИ'!AC14&lt;='СРОКИ'!$B$8+12),1,0)</f>
        <v/>
      </c>
      <c r="AD16" s="38">
        <f>IF(AND('СРОКИ'!AD14&gt;'СРОКИ'!$B$8,'СРОКИ'!AD14&lt;='СРОКИ'!$B$8+12),1,0)</f>
        <v/>
      </c>
      <c r="AE16" s="38">
        <f>IF(AND('СРОКИ'!AE14&gt;'СРОКИ'!$B$8,'СРОКИ'!AE14&lt;='СРОКИ'!$B$8+12),1,0)</f>
        <v/>
      </c>
      <c r="AF16" s="38">
        <f>IF(AND('СРОКИ'!AF14&gt;'СРОКИ'!$B$8,'СРОКИ'!AF14&lt;='СРОКИ'!$B$8+12),1,0)</f>
        <v/>
      </c>
      <c r="AG16" s="38">
        <f>IF(AND('СРОКИ'!AG14&gt;'СРОКИ'!$B$8,'СРОКИ'!AG14&lt;='СРОКИ'!$B$8+12),1,0)</f>
        <v/>
      </c>
      <c r="AH16" s="38">
        <f>IF(AND('СРОКИ'!AH14&gt;'СРОКИ'!$B$8,'СРОКИ'!AH14&lt;='СРОКИ'!$B$8+12),1,0)</f>
        <v/>
      </c>
      <c r="AI16" s="38">
        <f>IF(AND('СРОКИ'!AI14&gt;'СРОКИ'!$B$8,'СРОКИ'!AI14&lt;='СРОКИ'!$B$8+12),1,0)</f>
        <v/>
      </c>
      <c r="AJ16" s="38">
        <f>IF(AND('СРОКИ'!AJ14&gt;'СРОКИ'!$B$8,'СРОКИ'!AJ14&lt;='СРОКИ'!$B$8+12),1,0)</f>
        <v/>
      </c>
      <c r="AK16" s="38">
        <f>IF(AND('СРОКИ'!AK14&gt;'СРОКИ'!$B$8,'СРОКИ'!AK14&lt;='СРОКИ'!$B$8+12),1,0)</f>
        <v/>
      </c>
      <c r="AL16" s="38">
        <f>IF(AND('СРОКИ'!AL14&gt;'СРОКИ'!$B$8,'СРОКИ'!AL14&lt;='СРОКИ'!$B$8+12),1,0)</f>
        <v/>
      </c>
      <c r="AM16" s="38">
        <f>IF(AND('СРОКИ'!AM14&gt;'СРОКИ'!$B$8,'СРОКИ'!AM14&lt;='СРОКИ'!$B$8+12),1,0)</f>
        <v/>
      </c>
      <c r="AN16" s="38">
        <f>IF(AND('СРОКИ'!AN14&gt;'СРОКИ'!$B$8,'СРОКИ'!AN14&lt;='СРОКИ'!$B$8+12),1,0)</f>
        <v/>
      </c>
      <c r="AO16" s="38">
        <f>IF(AND('СРОКИ'!AO14&gt;'СРОКИ'!$B$8,'СРОКИ'!AO14&lt;='СРОКИ'!$B$8+12),1,0)</f>
        <v/>
      </c>
      <c r="AP16" s="38">
        <f>IF(AND('СРОКИ'!AP14&gt;'СРОКИ'!$B$8,'СРОКИ'!AP14&lt;='СРОКИ'!$B$8+12),1,0)</f>
        <v/>
      </c>
      <c r="AQ16" s="38">
        <f>IF(AND('СРОКИ'!AQ14&gt;'СРОКИ'!$B$8,'СРОКИ'!AQ14&lt;='СРОКИ'!$B$8+12),1,0)</f>
        <v/>
      </c>
      <c r="AR16" s="38">
        <f>IF(AND('СРОКИ'!AR14&gt;'СРОКИ'!$B$8,'СРОКИ'!AR14&lt;='СРОКИ'!$B$8+12),1,0)</f>
        <v/>
      </c>
      <c r="AS16" s="38">
        <f>IF(AND('СРОКИ'!AS14&gt;'СРОКИ'!$B$8,'СРОКИ'!AS14&lt;='СРОКИ'!$B$8+12),1,0)</f>
        <v/>
      </c>
      <c r="AT16" s="38">
        <f>IF(AND('СРОКИ'!AT14&gt;'СРОКИ'!$B$8,'СРОКИ'!AT14&lt;='СРОКИ'!$B$8+12),1,0)</f>
        <v/>
      </c>
      <c r="AU16" s="38">
        <f>IF(AND('СРОКИ'!AU14&gt;'СРОКИ'!$B$8,'СРОКИ'!AU14&lt;='СРОКИ'!$B$8+12),1,0)</f>
        <v/>
      </c>
      <c r="AV16" s="38">
        <f>IF(AND('СРОКИ'!AV14&gt;'СРОКИ'!$B$8,'СРОКИ'!AV14&lt;='СРОКИ'!$B$8+12),1,0)</f>
        <v/>
      </c>
      <c r="AW16" s="38">
        <f>IF(AND('СРОКИ'!AW14&gt;'СРОКИ'!$B$8,'СРОКИ'!AW14&lt;='СРОКИ'!$B$8+12),1,0)</f>
        <v/>
      </c>
      <c r="AX16" s="38">
        <f>IF(AND('СРОКИ'!AX14&gt;'СРОКИ'!$B$8,'СРОКИ'!AX14&lt;='СРОКИ'!$B$8+12),1,0)</f>
        <v/>
      </c>
      <c r="AY16" s="38">
        <f>IF(AND('СРОКИ'!AY14&gt;'СРОКИ'!$B$8,'СРОКИ'!AY14&lt;='СРОКИ'!$B$8+12),1,0)</f>
        <v/>
      </c>
      <c r="AZ16" s="38">
        <f>IF(AND('СРОКИ'!AZ14&gt;'СРОКИ'!$B$8,'СРОКИ'!AZ14&lt;='СРОКИ'!$B$8+12),1,0)</f>
        <v/>
      </c>
      <c r="BA16" s="38">
        <f>IF(AND('СРОКИ'!BA14&gt;'СРОКИ'!$B$8,'СРОКИ'!BA14&lt;='СРОКИ'!$B$8+12),1,0)</f>
        <v/>
      </c>
      <c r="BB16" s="38">
        <f>IF(AND('СРОКИ'!BB14&gt;'СРОКИ'!$B$8,'СРОКИ'!BB14&lt;='СРОКИ'!$B$8+12),1,0)</f>
        <v/>
      </c>
      <c r="BC16" s="38">
        <f>IF(AND('СРОКИ'!BC14&gt;'СРОКИ'!$B$8,'СРОКИ'!BC14&lt;='СРОКИ'!$B$8+12),1,0)</f>
        <v/>
      </c>
      <c r="BD16" s="38">
        <f>IF(AND('СРОКИ'!BD14&gt;'СРОКИ'!$B$8,'СРОКИ'!BD14&lt;='СРОКИ'!$B$8+12),1,0)</f>
        <v/>
      </c>
      <c r="BE16" s="38">
        <f>IF(AND('СРОКИ'!BE14&gt;'СРОКИ'!$B$8,'СРОКИ'!BE14&lt;='СРОКИ'!$B$8+12),1,0)</f>
        <v/>
      </c>
      <c r="BF16" s="38">
        <f>IF(AND('СРОКИ'!BF14&gt;'СРОКИ'!$B$8,'СРОКИ'!BF14&lt;='СРОКИ'!$B$8+12),1,0)</f>
        <v/>
      </c>
      <c r="BG16" s="38">
        <f>IF(AND('СРОКИ'!BG14&gt;'СРОКИ'!$B$8,'СРОКИ'!BG14&lt;='СРОКИ'!$B$8+12),1,0)</f>
        <v/>
      </c>
      <c r="BH16" s="38">
        <f>IF(AND('СРОКИ'!BH14&gt;'СРОКИ'!$B$8,'СРОКИ'!BH14&lt;='СРОКИ'!$B$8+12),1,0)</f>
        <v/>
      </c>
      <c r="BI16" s="38">
        <f>IF(AND('СРОКИ'!BI14&gt;'СРОКИ'!$B$8,'СРОКИ'!BI14&lt;='СРОКИ'!$B$8+12),1,0)</f>
        <v/>
      </c>
      <c r="BJ16" s="38">
        <f>IF(AND('СРОКИ'!BJ14&gt;'СРОКИ'!$B$8,'СРОКИ'!BJ14&lt;='СРОКИ'!$B$8+12),1,0)</f>
        <v/>
      </c>
      <c r="BK16" s="38">
        <f>IF(AND('СРОКИ'!BK14&gt;'СРОКИ'!$B$8,'СРОКИ'!BK14&lt;='СРОКИ'!$B$8+12),1,0)</f>
        <v/>
      </c>
      <c r="BL16" s="38">
        <f>IF(AND('СРОКИ'!BL14&gt;'СРОКИ'!$B$8,'СРОКИ'!BL14&lt;='СРОКИ'!$B$8+12),1,0)</f>
        <v/>
      </c>
      <c r="BM16" s="38">
        <f>IF(AND('СРОКИ'!BM14&gt;'СРОКИ'!$B$8,'СРОКИ'!BM14&lt;='СРОКИ'!$B$8+12),1,0)</f>
        <v/>
      </c>
      <c r="BN16" s="38">
        <f>IF(AND('СРОКИ'!BN14&gt;'СРОКИ'!$B$8,'СРОКИ'!BN14&lt;='СРОКИ'!$B$8+12),1,0)</f>
        <v/>
      </c>
      <c r="BO16" s="38">
        <f>IF(AND('СРОКИ'!BO14&gt;'СРОКИ'!$B$8,'СРОКИ'!BO14&lt;='СРОКИ'!$B$8+12),1,0)</f>
        <v/>
      </c>
      <c r="BP16" s="38">
        <f>IF(AND('СРОКИ'!BP14&gt;'СРОКИ'!$B$8,'СРОКИ'!BP14&lt;='СРОКИ'!$B$8+12),1,0)</f>
        <v/>
      </c>
      <c r="BQ16" s="38">
        <f>IF(AND('СРОКИ'!BQ14&gt;'СРОКИ'!$B$8,'СРОКИ'!BQ14&lt;='СРОКИ'!$B$8+12),1,0)</f>
        <v/>
      </c>
      <c r="BR16" s="38">
        <f>IF(AND('СРОКИ'!BR14&gt;'СРОКИ'!$B$8,'СРОКИ'!BR14&lt;='СРОКИ'!$B$8+12),1,0)</f>
        <v/>
      </c>
      <c r="BS16" s="38">
        <f>IF(AND('СРОКИ'!BS14&gt;'СРОКИ'!$B$8,'СРОКИ'!BS14&lt;='СРОКИ'!$B$8+12),1,0)</f>
        <v/>
      </c>
      <c r="BT16" s="38">
        <f>IF(AND('СРОКИ'!BT14&gt;'СРОКИ'!$B$8,'СРОКИ'!BT14&lt;='СРОКИ'!$B$8+12),1,0)</f>
        <v/>
      </c>
      <c r="BU16" s="38">
        <f>IF(AND('СРОКИ'!BU14&gt;'СРОКИ'!$B$8,'СРОКИ'!BU14&lt;='СРОКИ'!$B$8+12),1,0)</f>
        <v/>
      </c>
      <c r="BV16" s="38">
        <f>IF(AND('СРОКИ'!BV14&gt;'СРОКИ'!$B$8,'СРОКИ'!BV14&lt;='СРОКИ'!$B$8+12),1,0)</f>
        <v/>
      </c>
      <c r="BW16" s="38">
        <f>IF(AND('СРОКИ'!BW14&gt;'СРОКИ'!$B$8,'СРОКИ'!BW14&lt;='СРОКИ'!$B$8+12),1,0)</f>
        <v/>
      </c>
      <c r="BX16" s="38">
        <f>IF(AND('СРОКИ'!BX14&gt;'СРОКИ'!$B$8,'СРОКИ'!BX14&lt;='СРОКИ'!$B$8+12),1,0)</f>
        <v/>
      </c>
      <c r="BY16" s="38">
        <f>IF(AND('СРОКИ'!BY14&gt;'СРОКИ'!$B$8,'СРОКИ'!BY14&lt;='СРОКИ'!$B$8+12),1,0)</f>
        <v/>
      </c>
      <c r="BZ16" s="38">
        <f>IF(AND('СРОКИ'!BZ14&gt;'СРОКИ'!$B$8,'СРОКИ'!BZ14&lt;='СРОКИ'!$B$8+12),1,0)</f>
        <v/>
      </c>
      <c r="CA16" s="38">
        <f>IF(AND('СРОКИ'!CA14&gt;'СРОКИ'!$B$8,'СРОКИ'!CA14&lt;='СРОКИ'!$B$8+12),1,0)</f>
        <v/>
      </c>
      <c r="CB16" s="38">
        <f>IF(AND('СРОКИ'!CB14&gt;'СРОКИ'!$B$8,'СРОКИ'!CB14&lt;='СРОКИ'!$B$8+12),1,0)</f>
        <v/>
      </c>
      <c r="CC16" s="38">
        <f>IF(AND('СРОКИ'!CC14&gt;'СРОКИ'!$B$8,'СРОКИ'!CC14&lt;='СРОКИ'!$B$8+12),1,0)</f>
        <v/>
      </c>
      <c r="CD16" s="38">
        <f>IF(AND('СРОКИ'!CD14&gt;'СРОКИ'!$B$8,'СРОКИ'!CD14&lt;='СРОКИ'!$B$8+12),1,0)</f>
        <v/>
      </c>
      <c r="CE16" s="38">
        <f>IF(AND('СРОКИ'!CE14&gt;'СРОКИ'!$B$8,'СРОКИ'!CE14&lt;='СРОКИ'!$B$8+12),1,0)</f>
        <v/>
      </c>
      <c r="CF16" s="38">
        <f>IF(AND('СРОКИ'!CF14&gt;'СРОКИ'!$B$8,'СРОКИ'!CF14&lt;='СРОКИ'!$B$8+12),1,0)</f>
        <v/>
      </c>
      <c r="CG16" s="38">
        <f>IF(AND('СРОКИ'!CG14&gt;'СРОКИ'!$B$8,'СРОКИ'!CG14&lt;='СРОКИ'!$B$8+12),1,0)</f>
        <v/>
      </c>
      <c r="CH16" s="38">
        <f>IF(AND('СРОКИ'!CH14&gt;'СРОКИ'!$B$8,'СРОКИ'!CH14&lt;='СРОКИ'!$B$8+12),1,0)</f>
        <v/>
      </c>
      <c r="CI16" s="38">
        <f>IF(AND('СРОКИ'!CI14&gt;'СРОКИ'!$B$8,'СРОКИ'!CI14&lt;='СРОКИ'!$B$8+12),1,0)</f>
        <v/>
      </c>
      <c r="CJ16" s="38">
        <f>IF(AND('СРОКИ'!CJ14&gt;'СРОКИ'!$B$8,'СРОКИ'!CJ14&lt;='СРОКИ'!$B$8+12),1,0)</f>
        <v/>
      </c>
      <c r="CK16" s="38">
        <f>IF(AND('СРОКИ'!CK14&gt;'СРОКИ'!$B$8,'СРОКИ'!CK14&lt;='СРОКИ'!$B$8+12),1,0)</f>
        <v/>
      </c>
      <c r="CL16" s="38">
        <f>IF(AND('СРОКИ'!CL14&gt;'СРОКИ'!$B$8,'СРОКИ'!CL14&lt;='СРОКИ'!$B$8+12),1,0)</f>
        <v/>
      </c>
      <c r="CM16" s="38">
        <f>IF(AND('СРОКИ'!CM14&gt;'СРОКИ'!$B$8,'СРОКИ'!CM14&lt;='СРОКИ'!$B$8+12),1,0)</f>
        <v/>
      </c>
      <c r="CN16" s="38">
        <f>IF(AND('СРОКИ'!CN14&gt;'СРОКИ'!$B$8,'СРОКИ'!CN14&lt;='СРОКИ'!$B$8+12),1,0)</f>
        <v/>
      </c>
      <c r="CO16" s="38">
        <f>IF(AND('СРОКИ'!CO14&gt;'СРОКИ'!$B$8,'СРОКИ'!CO14&lt;='СРОКИ'!$B$8+12),1,0)</f>
        <v/>
      </c>
      <c r="CP16" s="38">
        <f>IF(AND('СРОКИ'!CP14&gt;'СРОКИ'!$B$8,'СРОКИ'!CP14&lt;='СРОКИ'!$B$8+12),1,0)</f>
        <v/>
      </c>
      <c r="CQ16" s="38">
        <f>IF(AND('СРОКИ'!CQ14&gt;'СРОКИ'!$B$8,'СРОКИ'!CQ14&lt;='СРОКИ'!$B$8+12),1,0)</f>
        <v/>
      </c>
      <c r="CR16" s="38">
        <f>IF(AND('СРОКИ'!CR14&gt;'СРОКИ'!$B$8,'СРОКИ'!CR14&lt;='СРОКИ'!$B$8+12),1,0)</f>
        <v/>
      </c>
      <c r="CS16" s="38">
        <f>IF(AND('СРОКИ'!CS14&gt;'СРОКИ'!$B$8,'СРОКИ'!CS14&lt;='СРОКИ'!$B$8+12),1,0)</f>
        <v/>
      </c>
      <c r="CT16" s="38">
        <f>IF(AND('СРОКИ'!CT14&gt;'СРОКИ'!$B$8,'СРОКИ'!CT14&lt;='СРОКИ'!$B$8+12),1,0)</f>
        <v/>
      </c>
      <c r="CU16" s="38">
        <f>IF(AND('СРОКИ'!CU14&gt;'СРОКИ'!$B$8,'СРОКИ'!CU14&lt;='СРОКИ'!$B$8+12),1,0)</f>
        <v/>
      </c>
      <c r="CV16" s="38">
        <f>IF(AND('СРОКИ'!CV14&gt;'СРОКИ'!$B$8,'СРОКИ'!CV14&lt;='СРОКИ'!$B$8+12),1,0)</f>
        <v/>
      </c>
      <c r="CW16" s="38">
        <f>IF(AND('СРОКИ'!CW14&gt;'СРОКИ'!$B$8,'СРОКИ'!CW14&lt;='СРОКИ'!$B$8+12),1,0)</f>
        <v/>
      </c>
      <c r="CX16" s="38">
        <f>IF(AND('СРОКИ'!CX14&gt;'СРОКИ'!$B$8,'СРОКИ'!CX14&lt;='СРОКИ'!$B$8+12),1,0)</f>
        <v/>
      </c>
      <c r="CY16" s="38">
        <f>IF(AND('СРОКИ'!CY14&gt;'СРОКИ'!$B$8,'СРОКИ'!CY14&lt;='СРОКИ'!$B$8+12),1,0)</f>
        <v/>
      </c>
      <c r="CZ16" s="38">
        <f>IF(AND('СРОКИ'!CZ14&gt;'СРОКИ'!$B$8,'СРОКИ'!CZ14&lt;='СРОКИ'!$B$8+12),1,0)</f>
        <v/>
      </c>
      <c r="DA16" s="38">
        <f>IF(AND('СРОКИ'!DA14&gt;'СРОКИ'!$B$8,'СРОКИ'!DA14&lt;='СРОКИ'!$B$8+12),1,0)</f>
        <v/>
      </c>
      <c r="DB16" s="38">
        <f>IF(AND('СРОКИ'!DB14&gt;'СРОКИ'!$B$8,'СРОКИ'!DB14&lt;='СРОКИ'!$B$8+12),1,0)</f>
        <v/>
      </c>
      <c r="DC16" s="38">
        <f>IF(AND('СРОКИ'!DC14&gt;'СРОКИ'!$B$8,'СРОКИ'!DC14&lt;='СРОКИ'!$B$8+12),1,0)</f>
        <v/>
      </c>
      <c r="DD16" s="38">
        <f>IF(AND('СРОКИ'!DD14&gt;'СРОКИ'!$B$8,'СРОКИ'!DD14&lt;='СРОКИ'!$B$8+12),1,0)</f>
        <v/>
      </c>
      <c r="DE16" s="38">
        <f>IF(AND('СРОКИ'!DE14&gt;'СРОКИ'!$B$8,'СРОКИ'!DE14&lt;='СРОКИ'!$B$8+12),1,0)</f>
        <v/>
      </c>
      <c r="DF16" s="38">
        <f>IF(AND('СРОКИ'!DF14&gt;'СРОКИ'!$B$8,'СРОКИ'!DF14&lt;='СРОКИ'!$B$8+12),1,0)</f>
        <v/>
      </c>
      <c r="DG16" s="38">
        <f>IF(AND('СРОКИ'!DG14&gt;'СРОКИ'!$B$8,'СРОКИ'!DG14&lt;='СРОКИ'!$B$8+12),1,0)</f>
        <v/>
      </c>
      <c r="DH16" s="38">
        <f>IF(AND('СРОКИ'!DH14&gt;'СРОКИ'!$B$8,'СРОКИ'!DH14&lt;='СРОКИ'!$B$8+12),1,0)</f>
        <v/>
      </c>
      <c r="DI16" s="38">
        <f>IF(AND('СРОКИ'!DI14&gt;'СРОКИ'!$B$8,'СРОКИ'!DI14&lt;='СРОКИ'!$B$8+12),1,0)</f>
        <v/>
      </c>
      <c r="DJ16" s="38">
        <f>IF(AND('СРОКИ'!DJ14&gt;'СРОКИ'!$B$8,'СРОКИ'!DJ14&lt;='СРОКИ'!$B$8+12),1,0)</f>
        <v/>
      </c>
      <c r="DK16" s="38">
        <f>IF(AND('СРОКИ'!DK14&gt;'СРОКИ'!$B$8,'СРОКИ'!DK14&lt;='СРОКИ'!$B$8+12),1,0)</f>
        <v/>
      </c>
      <c r="DL16" s="38">
        <f>IF(AND('СРОКИ'!DL14&gt;'СРОКИ'!$B$8,'СРОКИ'!DL14&lt;='СРОКИ'!$B$8+12),1,0)</f>
        <v/>
      </c>
      <c r="DM16" s="38">
        <f>IF(AND('СРОКИ'!DM14&gt;'СРОКИ'!$B$8,'СРОКИ'!DM14&lt;='СРОКИ'!$B$8+12),1,0)</f>
        <v/>
      </c>
    </row>
  </sheetData>
  <pageMargins left="0.75" right="0.75" top="1" bottom="1" header="0.5" footer="0.5"/>
  <pageSetup orientation="landscape" scale="52" fitToHeight="0" fitToWidth="1"/>
  <colBreaks count="9" manualBreakCount="9">
    <brk id="15" min="0" max="16383" man="1"/>
    <brk id="27" min="0" max="16383" man="1"/>
    <brk id="39" min="0" max="16383" man="1"/>
    <brk id="51" min="0" max="16383" man="1"/>
    <brk id="63" min="0" max="16383" man="1"/>
    <brk id="75" min="0" max="16383" man="1"/>
    <brk id="87" min="0" max="16383" man="1"/>
    <brk id="99" min="0" max="16383" man="1"/>
    <brk id="111" min="0" max="16383" man="1"/>
  </colBreaks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0"/>
  </sheetPr>
  <dimension ref="A1:DN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</cols>
  <sheetData>
    <row r="1">
      <c r="A1" s="1" t="inlineStr">
        <is>
          <t>CAPEX · ЗАТРАТЫ НА СОЗДАНИЕ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</row>
    <row r="2">
      <c r="A2" s="3" t="inlineStr">
        <is>
          <t>Курсив — график затрат движка. В рабочей книге — статьи сметы формулами, как лист CAPEX жилой v4.</t>
        </is>
      </c>
    </row>
    <row r="3">
      <c r="A3" s="9" t="inlineStr">
        <is>
          <t>Показатель</t>
        </is>
      </c>
      <c r="B3" s="9" t="inlineStr">
        <is>
          <t>Итого / вводная</t>
        </is>
      </c>
      <c r="C3" s="9" t="inlineStr">
        <is>
          <t>Ед.</t>
        </is>
      </c>
      <c r="D3" s="34">
        <f>СРОКИ!D3</f>
        <v/>
      </c>
      <c r="E3" s="34">
        <f>СРОКИ!E3</f>
        <v/>
      </c>
      <c r="F3" s="34">
        <f>СРОКИ!F3</f>
        <v/>
      </c>
      <c r="G3" s="34">
        <f>СРОКИ!G3</f>
        <v/>
      </c>
      <c r="H3" s="34">
        <f>СРОКИ!H3</f>
        <v/>
      </c>
      <c r="I3" s="34">
        <f>СРОКИ!I3</f>
        <v/>
      </c>
      <c r="J3" s="34">
        <f>СРОКИ!J3</f>
        <v/>
      </c>
      <c r="K3" s="34">
        <f>СРОКИ!K3</f>
        <v/>
      </c>
      <c r="L3" s="34">
        <f>СРОКИ!L3</f>
        <v/>
      </c>
      <c r="M3" s="34">
        <f>СРОКИ!M3</f>
        <v/>
      </c>
      <c r="N3" s="34">
        <f>СРОКИ!N3</f>
        <v/>
      </c>
      <c r="O3" s="34">
        <f>СРОКИ!O3</f>
        <v/>
      </c>
      <c r="P3" s="34">
        <f>СРОКИ!P3</f>
        <v/>
      </c>
      <c r="Q3" s="34">
        <f>СРОКИ!Q3</f>
        <v/>
      </c>
      <c r="R3" s="34">
        <f>СРОКИ!R3</f>
        <v/>
      </c>
      <c r="S3" s="34">
        <f>СРОКИ!S3</f>
        <v/>
      </c>
      <c r="T3" s="34">
        <f>СРОКИ!T3</f>
        <v/>
      </c>
      <c r="U3" s="34">
        <f>СРОКИ!U3</f>
        <v/>
      </c>
      <c r="V3" s="34">
        <f>СРОКИ!V3</f>
        <v/>
      </c>
      <c r="W3" s="34">
        <f>СРОКИ!W3</f>
        <v/>
      </c>
      <c r="X3" s="34">
        <f>СРОКИ!X3</f>
        <v/>
      </c>
      <c r="Y3" s="34">
        <f>СРОКИ!Y3</f>
        <v/>
      </c>
      <c r="Z3" s="34">
        <f>СРОКИ!Z3</f>
        <v/>
      </c>
      <c r="AA3" s="34">
        <f>СРОКИ!AA3</f>
        <v/>
      </c>
      <c r="AB3" s="34">
        <f>СРОКИ!AB3</f>
        <v/>
      </c>
      <c r="AC3" s="34">
        <f>СРОКИ!AC3</f>
        <v/>
      </c>
      <c r="AD3" s="34">
        <f>СРОКИ!AD3</f>
        <v/>
      </c>
      <c r="AE3" s="34">
        <f>СРОКИ!AE3</f>
        <v/>
      </c>
      <c r="AF3" s="34">
        <f>СРОКИ!AF3</f>
        <v/>
      </c>
      <c r="AG3" s="34">
        <f>СРОКИ!AG3</f>
        <v/>
      </c>
      <c r="AH3" s="34">
        <f>СРОКИ!AH3</f>
        <v/>
      </c>
      <c r="AI3" s="34">
        <f>СРОКИ!AI3</f>
        <v/>
      </c>
      <c r="AJ3" s="34">
        <f>СРОКИ!AJ3</f>
        <v/>
      </c>
      <c r="AK3" s="34">
        <f>СРОКИ!AK3</f>
        <v/>
      </c>
      <c r="AL3" s="34">
        <f>СРОКИ!AL3</f>
        <v/>
      </c>
      <c r="AM3" s="34">
        <f>СРОКИ!AM3</f>
        <v/>
      </c>
      <c r="AN3" s="34">
        <f>СРОКИ!AN3</f>
        <v/>
      </c>
      <c r="AO3" s="34">
        <f>СРОКИ!AO3</f>
        <v/>
      </c>
      <c r="AP3" s="34">
        <f>СРОКИ!AP3</f>
        <v/>
      </c>
      <c r="AQ3" s="34">
        <f>СРОКИ!AQ3</f>
        <v/>
      </c>
      <c r="AR3" s="34">
        <f>СРОКИ!AR3</f>
        <v/>
      </c>
      <c r="AS3" s="34">
        <f>СРОКИ!AS3</f>
        <v/>
      </c>
      <c r="AT3" s="34">
        <f>СРОКИ!AT3</f>
        <v/>
      </c>
      <c r="AU3" s="34">
        <f>СРОКИ!AU3</f>
        <v/>
      </c>
      <c r="AV3" s="34">
        <f>СРОКИ!AV3</f>
        <v/>
      </c>
      <c r="AW3" s="34">
        <f>СРОКИ!AW3</f>
        <v/>
      </c>
      <c r="AX3" s="34">
        <f>СРОКИ!AX3</f>
        <v/>
      </c>
      <c r="AY3" s="34">
        <f>СРОКИ!AY3</f>
        <v/>
      </c>
      <c r="AZ3" s="34">
        <f>СРОКИ!AZ3</f>
        <v/>
      </c>
      <c r="BA3" s="34">
        <f>СРОКИ!BA3</f>
        <v/>
      </c>
      <c r="BB3" s="34">
        <f>СРОКИ!BB3</f>
        <v/>
      </c>
      <c r="BC3" s="34">
        <f>СРОКИ!BC3</f>
        <v/>
      </c>
      <c r="BD3" s="34">
        <f>СРОКИ!BD3</f>
        <v/>
      </c>
      <c r="BE3" s="34">
        <f>СРОКИ!BE3</f>
        <v/>
      </c>
      <c r="BF3" s="34">
        <f>СРОКИ!BF3</f>
        <v/>
      </c>
      <c r="BG3" s="34">
        <f>СРОКИ!BG3</f>
        <v/>
      </c>
      <c r="BH3" s="34">
        <f>СРОКИ!BH3</f>
        <v/>
      </c>
      <c r="BI3" s="34">
        <f>СРОКИ!BI3</f>
        <v/>
      </c>
      <c r="BJ3" s="34">
        <f>СРОКИ!BJ3</f>
        <v/>
      </c>
      <c r="BK3" s="34">
        <f>СРОКИ!BK3</f>
        <v/>
      </c>
      <c r="BL3" s="34">
        <f>СРОКИ!BL3</f>
        <v/>
      </c>
      <c r="BM3" s="34">
        <f>СРОКИ!BM3</f>
        <v/>
      </c>
      <c r="BN3" s="34">
        <f>СРОКИ!BN3</f>
        <v/>
      </c>
      <c r="BO3" s="34">
        <f>СРОКИ!BO3</f>
        <v/>
      </c>
      <c r="BP3" s="34">
        <f>СРОКИ!BP3</f>
        <v/>
      </c>
      <c r="BQ3" s="34">
        <f>СРОКИ!BQ3</f>
        <v/>
      </c>
      <c r="BR3" s="34">
        <f>СРОКИ!BR3</f>
        <v/>
      </c>
      <c r="BS3" s="34">
        <f>СРОКИ!BS3</f>
        <v/>
      </c>
      <c r="BT3" s="34">
        <f>СРОКИ!BT3</f>
        <v/>
      </c>
      <c r="BU3" s="34">
        <f>СРОКИ!BU3</f>
        <v/>
      </c>
      <c r="BV3" s="34">
        <f>СРОКИ!BV3</f>
        <v/>
      </c>
      <c r="BW3" s="34">
        <f>СРОКИ!BW3</f>
        <v/>
      </c>
      <c r="BX3" s="34">
        <f>СРОКИ!BX3</f>
        <v/>
      </c>
      <c r="BY3" s="34">
        <f>СРОКИ!BY3</f>
        <v/>
      </c>
      <c r="BZ3" s="34">
        <f>СРОКИ!BZ3</f>
        <v/>
      </c>
      <c r="CA3" s="34">
        <f>СРОКИ!CA3</f>
        <v/>
      </c>
      <c r="CB3" s="34">
        <f>СРОКИ!CB3</f>
        <v/>
      </c>
      <c r="CC3" s="34">
        <f>СРОКИ!CC3</f>
        <v/>
      </c>
      <c r="CD3" s="34">
        <f>СРОКИ!CD3</f>
        <v/>
      </c>
      <c r="CE3" s="34">
        <f>СРОКИ!CE3</f>
        <v/>
      </c>
      <c r="CF3" s="34">
        <f>СРОКИ!CF3</f>
        <v/>
      </c>
      <c r="CG3" s="34">
        <f>СРОКИ!CG3</f>
        <v/>
      </c>
      <c r="CH3" s="34">
        <f>СРОКИ!CH3</f>
        <v/>
      </c>
      <c r="CI3" s="34">
        <f>СРОКИ!CI3</f>
        <v/>
      </c>
      <c r="CJ3" s="34">
        <f>СРОКИ!CJ3</f>
        <v/>
      </c>
      <c r="CK3" s="34">
        <f>СРОКИ!CK3</f>
        <v/>
      </c>
      <c r="CL3" s="34">
        <f>СРОКИ!CL3</f>
        <v/>
      </c>
      <c r="CM3" s="34">
        <f>СРОКИ!CM3</f>
        <v/>
      </c>
      <c r="CN3" s="34">
        <f>СРОКИ!CN3</f>
        <v/>
      </c>
      <c r="CO3" s="34">
        <f>СРОКИ!CO3</f>
        <v/>
      </c>
      <c r="CP3" s="34">
        <f>СРОКИ!CP3</f>
        <v/>
      </c>
      <c r="CQ3" s="34">
        <f>СРОКИ!CQ3</f>
        <v/>
      </c>
      <c r="CR3" s="34">
        <f>СРОКИ!CR3</f>
        <v/>
      </c>
      <c r="CS3" s="34">
        <f>СРОКИ!CS3</f>
        <v/>
      </c>
      <c r="CT3" s="34">
        <f>СРОКИ!CT3</f>
        <v/>
      </c>
      <c r="CU3" s="34">
        <f>СРОКИ!CU3</f>
        <v/>
      </c>
      <c r="CV3" s="34">
        <f>СРОКИ!CV3</f>
        <v/>
      </c>
      <c r="CW3" s="34">
        <f>СРОКИ!CW3</f>
        <v/>
      </c>
      <c r="CX3" s="34">
        <f>СРОКИ!CX3</f>
        <v/>
      </c>
      <c r="CY3" s="34">
        <f>СРОКИ!CY3</f>
        <v/>
      </c>
      <c r="CZ3" s="34">
        <f>СРОКИ!CZ3</f>
        <v/>
      </c>
      <c r="DA3" s="34">
        <f>СРОКИ!DA3</f>
        <v/>
      </c>
      <c r="DB3" s="34">
        <f>СРОКИ!DB3</f>
        <v/>
      </c>
      <c r="DC3" s="34">
        <f>СРОКИ!DC3</f>
        <v/>
      </c>
      <c r="DD3" s="34">
        <f>СРОКИ!DD3</f>
        <v/>
      </c>
      <c r="DE3" s="34">
        <f>СРОКИ!DE3</f>
        <v/>
      </c>
      <c r="DF3" s="34">
        <f>СРОКИ!DF3</f>
        <v/>
      </c>
      <c r="DG3" s="34">
        <f>СРОКИ!DG3</f>
        <v/>
      </c>
      <c r="DH3" s="34">
        <f>СРОКИ!DH3</f>
        <v/>
      </c>
      <c r="DI3" s="34">
        <f>СРОКИ!DI3</f>
        <v/>
      </c>
      <c r="DJ3" s="34">
        <f>СРОКИ!DJ3</f>
        <v/>
      </c>
      <c r="DK3" s="34">
        <f>СРОКИ!DK3</f>
        <v/>
      </c>
      <c r="DL3" s="34">
        <f>СРОКИ!DL3</f>
        <v/>
      </c>
      <c r="DM3" s="34">
        <f>СРОКИ!DM3</f>
        <v/>
      </c>
    </row>
    <row r="4">
      <c r="A4" t="inlineStr">
        <is>
          <t>Период</t>
        </is>
      </c>
      <c r="C4" t="inlineStr">
        <is>
          <t>№</t>
        </is>
      </c>
      <c r="D4" s="35" t="n">
        <v>0</v>
      </c>
      <c r="E4" s="35" t="n">
        <v>1</v>
      </c>
      <c r="F4" s="35" t="n">
        <v>2</v>
      </c>
      <c r="G4" s="35" t="n">
        <v>3</v>
      </c>
      <c r="H4" s="35" t="n">
        <v>4</v>
      </c>
      <c r="I4" s="35" t="n">
        <v>5</v>
      </c>
      <c r="J4" s="35" t="n">
        <v>6</v>
      </c>
      <c r="K4" s="35" t="n">
        <v>7</v>
      </c>
      <c r="L4" s="35" t="n">
        <v>8</v>
      </c>
      <c r="M4" s="35" t="n">
        <v>9</v>
      </c>
      <c r="N4" s="35" t="n">
        <v>10</v>
      </c>
      <c r="O4" s="35" t="n">
        <v>11</v>
      </c>
      <c r="P4" s="35" t="n">
        <v>12</v>
      </c>
      <c r="Q4" s="35" t="n">
        <v>13</v>
      </c>
      <c r="R4" s="35" t="n">
        <v>14</v>
      </c>
      <c r="S4" s="35" t="n">
        <v>15</v>
      </c>
      <c r="T4" s="35" t="n">
        <v>16</v>
      </c>
      <c r="U4" s="35" t="n">
        <v>17</v>
      </c>
      <c r="V4" s="35" t="n">
        <v>18</v>
      </c>
      <c r="W4" s="35" t="n">
        <v>19</v>
      </c>
      <c r="X4" s="35" t="n">
        <v>20</v>
      </c>
      <c r="Y4" s="35" t="n">
        <v>21</v>
      </c>
      <c r="Z4" s="35" t="n">
        <v>22</v>
      </c>
      <c r="AA4" s="35" t="n">
        <v>23</v>
      </c>
      <c r="AB4" s="35" t="n">
        <v>24</v>
      </c>
      <c r="AC4" s="35" t="n">
        <v>25</v>
      </c>
      <c r="AD4" s="35" t="n">
        <v>26</v>
      </c>
      <c r="AE4" s="35" t="n">
        <v>27</v>
      </c>
      <c r="AF4" s="35" t="n">
        <v>28</v>
      </c>
      <c r="AG4" s="35" t="n">
        <v>29</v>
      </c>
      <c r="AH4" s="35" t="n">
        <v>30</v>
      </c>
      <c r="AI4" s="35" t="n">
        <v>31</v>
      </c>
      <c r="AJ4" s="35" t="n">
        <v>32</v>
      </c>
      <c r="AK4" s="35" t="n">
        <v>33</v>
      </c>
      <c r="AL4" s="35" t="n">
        <v>34</v>
      </c>
      <c r="AM4" s="35" t="n">
        <v>35</v>
      </c>
      <c r="AN4" s="35" t="n">
        <v>36</v>
      </c>
      <c r="AO4" s="35" t="n">
        <v>37</v>
      </c>
      <c r="AP4" s="35" t="n">
        <v>38</v>
      </c>
      <c r="AQ4" s="35" t="n">
        <v>39</v>
      </c>
      <c r="AR4" s="35" t="n">
        <v>40</v>
      </c>
      <c r="AS4" s="35" t="n">
        <v>41</v>
      </c>
      <c r="AT4" s="35" t="n">
        <v>42</v>
      </c>
      <c r="AU4" s="35" t="n">
        <v>43</v>
      </c>
      <c r="AV4" s="35" t="n">
        <v>44</v>
      </c>
      <c r="AW4" s="35" t="n">
        <v>45</v>
      </c>
      <c r="AX4" s="35" t="n">
        <v>46</v>
      </c>
      <c r="AY4" s="35" t="n">
        <v>47</v>
      </c>
      <c r="AZ4" s="35" t="n">
        <v>48</v>
      </c>
      <c r="BA4" s="35" t="n">
        <v>49</v>
      </c>
      <c r="BB4" s="35" t="n">
        <v>50</v>
      </c>
      <c r="BC4" s="35" t="n">
        <v>51</v>
      </c>
      <c r="BD4" s="35" t="n">
        <v>52</v>
      </c>
      <c r="BE4" s="35" t="n">
        <v>53</v>
      </c>
      <c r="BF4" s="35" t="n">
        <v>54</v>
      </c>
      <c r="BG4" s="35" t="n">
        <v>55</v>
      </c>
      <c r="BH4" s="35" t="n">
        <v>56</v>
      </c>
      <c r="BI4" s="35" t="n">
        <v>57</v>
      </c>
      <c r="BJ4" s="35" t="n">
        <v>58</v>
      </c>
      <c r="BK4" s="35" t="n">
        <v>59</v>
      </c>
      <c r="BL4" s="35" t="n">
        <v>60</v>
      </c>
      <c r="BM4" s="35" t="n">
        <v>61</v>
      </c>
      <c r="BN4" s="35" t="n">
        <v>62</v>
      </c>
      <c r="BO4" s="35" t="n">
        <v>63</v>
      </c>
      <c r="BP4" s="35" t="n">
        <v>64</v>
      </c>
      <c r="BQ4" s="35" t="n">
        <v>65</v>
      </c>
      <c r="BR4" s="35" t="n">
        <v>66</v>
      </c>
      <c r="BS4" s="35" t="n">
        <v>67</v>
      </c>
      <c r="BT4" s="35" t="n">
        <v>68</v>
      </c>
      <c r="BU4" s="35" t="n">
        <v>69</v>
      </c>
      <c r="BV4" s="35" t="n">
        <v>70</v>
      </c>
      <c r="BW4" s="35" t="n">
        <v>71</v>
      </c>
      <c r="BX4" s="35" t="n">
        <v>72</v>
      </c>
      <c r="BY4" s="35" t="n">
        <v>73</v>
      </c>
      <c r="BZ4" s="35" t="n">
        <v>74</v>
      </c>
      <c r="CA4" s="35" t="n">
        <v>75</v>
      </c>
      <c r="CB4" s="35" t="n">
        <v>76</v>
      </c>
      <c r="CC4" s="35" t="n">
        <v>77</v>
      </c>
      <c r="CD4" s="35" t="n">
        <v>78</v>
      </c>
      <c r="CE4" s="35" t="n">
        <v>79</v>
      </c>
      <c r="CF4" s="35" t="n">
        <v>80</v>
      </c>
      <c r="CG4" s="35" t="n">
        <v>81</v>
      </c>
      <c r="CH4" s="35" t="n">
        <v>82</v>
      </c>
      <c r="CI4" s="35" t="n">
        <v>83</v>
      </c>
      <c r="CJ4" s="35" t="n">
        <v>84</v>
      </c>
      <c r="CK4" s="35" t="n">
        <v>85</v>
      </c>
      <c r="CL4" s="35" t="n">
        <v>86</v>
      </c>
      <c r="CM4" s="35" t="n">
        <v>87</v>
      </c>
      <c r="CN4" s="35" t="n">
        <v>88</v>
      </c>
      <c r="CO4" s="35" t="n">
        <v>89</v>
      </c>
      <c r="CP4" s="35" t="n">
        <v>90</v>
      </c>
      <c r="CQ4" s="35" t="n">
        <v>91</v>
      </c>
      <c r="CR4" s="35" t="n">
        <v>92</v>
      </c>
      <c r="CS4" s="35" t="n">
        <v>93</v>
      </c>
      <c r="CT4" s="35" t="n">
        <v>94</v>
      </c>
      <c r="CU4" s="35" t="n">
        <v>95</v>
      </c>
      <c r="CV4" s="35" t="n">
        <v>96</v>
      </c>
      <c r="CW4" s="35" t="n">
        <v>97</v>
      </c>
      <c r="CX4" s="35" t="n">
        <v>98</v>
      </c>
      <c r="CY4" s="35" t="n">
        <v>99</v>
      </c>
      <c r="CZ4" s="35" t="n">
        <v>100</v>
      </c>
      <c r="DA4" s="35" t="n">
        <v>101</v>
      </c>
      <c r="DB4" s="35" t="n">
        <v>102</v>
      </c>
      <c r="DC4" s="35" t="n">
        <v>103</v>
      </c>
      <c r="DD4" s="35" t="n">
        <v>104</v>
      </c>
      <c r="DE4" s="35" t="n">
        <v>105</v>
      </c>
      <c r="DF4" s="35" t="n">
        <v>106</v>
      </c>
      <c r="DG4" s="35" t="n">
        <v>107</v>
      </c>
      <c r="DH4" s="35" t="n">
        <v>108</v>
      </c>
      <c r="DI4" s="35" t="n">
        <v>109</v>
      </c>
      <c r="DJ4" s="35" t="n">
        <v>110</v>
      </c>
      <c r="DK4" s="35" t="n">
        <v>111</v>
      </c>
      <c r="DL4" s="35" t="n">
        <v>112</v>
      </c>
      <c r="DM4" s="35" t="n">
        <v>113</v>
      </c>
    </row>
    <row r="5">
      <c r="A5" s="39" t="inlineStr">
        <is>
          <t>Стройка здания, с НДС</t>
        </is>
      </c>
      <c r="B5" s="40">
        <f>SUM(D5:DM5)</f>
        <v/>
      </c>
      <c r="C5" s="37" t="inlineStr">
        <is>
          <t>млн ₽</t>
        </is>
      </c>
      <c r="D5" s="41" t="n">
        <v>0</v>
      </c>
      <c r="E5" s="41" t="n">
        <v>0</v>
      </c>
      <c r="F5" s="41" t="n">
        <v>0</v>
      </c>
      <c r="G5" s="41" t="n">
        <v>0</v>
      </c>
      <c r="H5" s="41" t="n">
        <v>0</v>
      </c>
      <c r="I5" s="41" t="n">
        <v>0</v>
      </c>
      <c r="J5" s="41" t="n">
        <v>0</v>
      </c>
      <c r="K5" s="41" t="n">
        <v>0</v>
      </c>
      <c r="L5" s="41" t="n">
        <v>0</v>
      </c>
      <c r="M5" s="41" t="n">
        <v>0</v>
      </c>
      <c r="N5" s="41" t="n">
        <v>0</v>
      </c>
      <c r="O5" s="41" t="n">
        <v>0</v>
      </c>
      <c r="P5" s="41" t="n">
        <v>0</v>
      </c>
      <c r="Q5" s="41" t="n">
        <v>0</v>
      </c>
      <c r="R5" s="41" t="n">
        <v>0</v>
      </c>
      <c r="S5" s="41" t="n">
        <v>0</v>
      </c>
      <c r="T5" s="41" t="n">
        <v>0</v>
      </c>
      <c r="U5" s="41" t="n">
        <v>0</v>
      </c>
      <c r="V5" s="41" t="n">
        <v>66.93590163934427</v>
      </c>
      <c r="W5" s="41" t="n">
        <v>66.93590163934427</v>
      </c>
      <c r="X5" s="41" t="n">
        <v>66.93590163934427</v>
      </c>
      <c r="Y5" s="41" t="n">
        <v>66.93590163934427</v>
      </c>
      <c r="Z5" s="41" t="n">
        <v>133.8718032786885</v>
      </c>
      <c r="AA5" s="41" t="n">
        <v>133.8718032786885</v>
      </c>
      <c r="AB5" s="41" t="n">
        <v>133.8718032786885</v>
      </c>
      <c r="AC5" s="41" t="n">
        <v>133.8718032786885</v>
      </c>
      <c r="AD5" s="41" t="n">
        <v>133.8718032786885</v>
      </c>
      <c r="AE5" s="41" t="n">
        <v>133.8718032786885</v>
      </c>
      <c r="AF5" s="41" t="n">
        <v>133.8718032786885</v>
      </c>
      <c r="AG5" s="41" t="n">
        <v>133.8718032786885</v>
      </c>
      <c r="AH5" s="41" t="n">
        <v>133.8718032786885</v>
      </c>
      <c r="AI5" s="41" t="n">
        <v>133.8718032786885</v>
      </c>
      <c r="AJ5" s="41" t="n">
        <v>133.8718032786885</v>
      </c>
      <c r="AK5" s="41" t="n">
        <v>133.8718032786885</v>
      </c>
      <c r="AL5" s="41" t="n">
        <v>133.8718032786885</v>
      </c>
      <c r="AM5" s="41" t="n">
        <v>133.8718032786885</v>
      </c>
      <c r="AN5" s="41" t="n">
        <v>133.8718032786885</v>
      </c>
      <c r="AO5" s="41" t="n">
        <v>89.24786885245904</v>
      </c>
      <c r="AP5" s="41" t="n">
        <v>89.24786885245904</v>
      </c>
      <c r="AQ5" s="41" t="n">
        <v>89.24786885245904</v>
      </c>
      <c r="AR5" s="41" t="n">
        <v>89.24786885245904</v>
      </c>
      <c r="AS5" s="41" t="n">
        <v>89.24786885245904</v>
      </c>
      <c r="AT5" s="41" t="n">
        <v>0</v>
      </c>
      <c r="AU5" s="41" t="n">
        <v>0</v>
      </c>
      <c r="AV5" s="41" t="n">
        <v>0</v>
      </c>
      <c r="AW5" s="41" t="n">
        <v>0</v>
      </c>
      <c r="AX5" s="41" t="n">
        <v>0</v>
      </c>
      <c r="AY5" s="41" t="n">
        <v>0</v>
      </c>
      <c r="AZ5" s="41" t="n">
        <v>0</v>
      </c>
      <c r="BA5" s="41" t="n">
        <v>0</v>
      </c>
      <c r="BB5" s="41" t="n">
        <v>0</v>
      </c>
      <c r="BC5" s="41" t="n">
        <v>0</v>
      </c>
      <c r="BD5" s="41" t="n">
        <v>0</v>
      </c>
      <c r="BE5" s="41" t="n">
        <v>0</v>
      </c>
      <c r="BF5" s="41" t="n">
        <v>0</v>
      </c>
      <c r="BG5" s="41" t="n">
        <v>0</v>
      </c>
      <c r="BH5" s="41" t="n">
        <v>0</v>
      </c>
      <c r="BI5" s="41" t="n">
        <v>0</v>
      </c>
      <c r="BJ5" s="41" t="n">
        <v>0</v>
      </c>
      <c r="BK5" s="41" t="n">
        <v>0</v>
      </c>
      <c r="BL5" s="41" t="n">
        <v>0</v>
      </c>
      <c r="BM5" s="41" t="n">
        <v>0</v>
      </c>
      <c r="BN5" s="41" t="n">
        <v>0</v>
      </c>
      <c r="BO5" s="41" t="n">
        <v>0</v>
      </c>
      <c r="BP5" s="41" t="n">
        <v>0</v>
      </c>
      <c r="BQ5" s="41" t="n">
        <v>0</v>
      </c>
      <c r="BR5" s="41" t="n">
        <v>0</v>
      </c>
      <c r="BS5" s="41" t="n">
        <v>0</v>
      </c>
      <c r="BT5" s="41" t="n">
        <v>0</v>
      </c>
      <c r="BU5" s="41" t="n">
        <v>0</v>
      </c>
      <c r="BV5" s="41" t="n">
        <v>0</v>
      </c>
      <c r="BW5" s="41" t="n">
        <v>0</v>
      </c>
      <c r="BX5" s="41" t="n">
        <v>0</v>
      </c>
      <c r="BY5" s="41" t="n">
        <v>0</v>
      </c>
      <c r="BZ5" s="41" t="n">
        <v>0</v>
      </c>
      <c r="CA5" s="41" t="n">
        <v>0</v>
      </c>
      <c r="CB5" s="41" t="n">
        <v>0</v>
      </c>
      <c r="CC5" s="41" t="n">
        <v>0</v>
      </c>
      <c r="CD5" s="41" t="n">
        <v>0</v>
      </c>
      <c r="CE5" s="41" t="n">
        <v>0</v>
      </c>
      <c r="CF5" s="41" t="n">
        <v>0</v>
      </c>
      <c r="CG5" s="41" t="n">
        <v>0</v>
      </c>
      <c r="CH5" s="41" t="n">
        <v>0</v>
      </c>
      <c r="CI5" s="41" t="n">
        <v>0</v>
      </c>
      <c r="CJ5" s="41" t="n">
        <v>0</v>
      </c>
      <c r="CK5" s="41" t="n">
        <v>0</v>
      </c>
      <c r="CL5" s="41" t="n">
        <v>0</v>
      </c>
      <c r="CM5" s="41" t="n">
        <v>0</v>
      </c>
      <c r="CN5" s="41" t="n">
        <v>0</v>
      </c>
      <c r="CO5" s="41" t="n">
        <v>0</v>
      </c>
      <c r="CP5" s="41" t="n">
        <v>0</v>
      </c>
      <c r="CQ5" s="41" t="n">
        <v>0</v>
      </c>
      <c r="CR5" s="41" t="n">
        <v>0</v>
      </c>
      <c r="CS5" s="41" t="n">
        <v>0</v>
      </c>
      <c r="CT5" s="41" t="n">
        <v>0</v>
      </c>
      <c r="CU5" s="41" t="n">
        <v>0</v>
      </c>
      <c r="CV5" s="41" t="n">
        <v>0</v>
      </c>
      <c r="CW5" s="41" t="n">
        <v>0</v>
      </c>
      <c r="CX5" s="41" t="n">
        <v>0</v>
      </c>
      <c r="CY5" s="41" t="n">
        <v>0</v>
      </c>
      <c r="CZ5" s="41" t="n">
        <v>0</v>
      </c>
      <c r="DA5" s="41" t="n">
        <v>0</v>
      </c>
      <c r="DB5" s="41" t="n">
        <v>0</v>
      </c>
      <c r="DC5" s="41" t="n">
        <v>0</v>
      </c>
      <c r="DD5" s="41" t="n">
        <v>0</v>
      </c>
      <c r="DE5" s="41" t="n">
        <v>0</v>
      </c>
      <c r="DF5" s="41" t="n">
        <v>0</v>
      </c>
      <c r="DG5" s="41" t="n">
        <v>0</v>
      </c>
      <c r="DH5" s="41" t="n">
        <v>0</v>
      </c>
      <c r="DI5" s="41" t="n">
        <v>0</v>
      </c>
      <c r="DJ5" s="41" t="n">
        <v>0</v>
      </c>
      <c r="DK5" s="41" t="n">
        <v>0</v>
      </c>
      <c r="DL5" s="41" t="n">
        <v>0</v>
      </c>
      <c r="DM5" s="41" t="n">
        <v>0</v>
      </c>
    </row>
    <row r="6">
      <c r="A6" s="39" t="inlineStr">
        <is>
          <t>Общие затраты проекта с участком, с НДС</t>
        </is>
      </c>
      <c r="B6" s="40">
        <f>SUM(D6:DM6)</f>
        <v/>
      </c>
      <c r="C6" s="37" t="inlineStr">
        <is>
          <t>млн ₽</t>
        </is>
      </c>
      <c r="D6" s="41" t="n">
        <v>681.696087191748</v>
      </c>
      <c r="E6" s="41" t="n">
        <v>1.696087191748014</v>
      </c>
      <c r="F6" s="41" t="n">
        <v>1.696087191748014</v>
      </c>
      <c r="G6" s="41" t="n">
        <v>1.696087191748014</v>
      </c>
      <c r="H6" s="41" t="n">
        <v>1.696087191748014</v>
      </c>
      <c r="I6" s="41" t="n">
        <v>1.696087191748014</v>
      </c>
      <c r="J6" s="41" t="n">
        <v>1.696087191748014</v>
      </c>
      <c r="K6" s="41" t="n">
        <v>1.696087191748014</v>
      </c>
      <c r="L6" s="41" t="n">
        <v>1.696087191748014</v>
      </c>
      <c r="M6" s="41" t="n">
        <v>1.696087191748014</v>
      </c>
      <c r="N6" s="41" t="n">
        <v>1.696087191748014</v>
      </c>
      <c r="O6" s="41" t="n">
        <v>1.696087191748014</v>
      </c>
      <c r="P6" s="41" t="n">
        <v>89.46859936470774</v>
      </c>
      <c r="Q6" s="41" t="n">
        <v>89.46859936470774</v>
      </c>
      <c r="R6" s="41" t="n">
        <v>89.46859936470774</v>
      </c>
      <c r="S6" s="41" t="n">
        <v>89.46859936470774</v>
      </c>
      <c r="T6" s="41" t="n">
        <v>89.46859936470774</v>
      </c>
      <c r="U6" s="41" t="n">
        <v>89.46859936470774</v>
      </c>
      <c r="V6" s="41" t="n">
        <v>24.62420137956829</v>
      </c>
      <c r="W6" s="41" t="n">
        <v>24.62420137956829</v>
      </c>
      <c r="X6" s="41" t="n">
        <v>24.62420137956829</v>
      </c>
      <c r="Y6" s="41" t="n">
        <v>24.62420137956829</v>
      </c>
      <c r="Z6" s="41" t="n">
        <v>49.24840275913659</v>
      </c>
      <c r="AA6" s="41" t="n">
        <v>49.24840275913659</v>
      </c>
      <c r="AB6" s="41" t="n">
        <v>49.24840275913659</v>
      </c>
      <c r="AC6" s="41" t="n">
        <v>49.24840275913659</v>
      </c>
      <c r="AD6" s="41" t="n">
        <v>49.24840275913659</v>
      </c>
      <c r="AE6" s="41" t="n">
        <v>49.24840275913659</v>
      </c>
      <c r="AF6" s="41" t="n">
        <v>49.24840275913659</v>
      </c>
      <c r="AG6" s="41" t="n">
        <v>49.24840275913659</v>
      </c>
      <c r="AH6" s="41" t="n">
        <v>49.24840275913659</v>
      </c>
      <c r="AI6" s="41" t="n">
        <v>49.24840275913659</v>
      </c>
      <c r="AJ6" s="41" t="n">
        <v>49.24840275913659</v>
      </c>
      <c r="AK6" s="41" t="n">
        <v>49.24840275913659</v>
      </c>
      <c r="AL6" s="41" t="n">
        <v>49.24840275913659</v>
      </c>
      <c r="AM6" s="41" t="n">
        <v>49.24840275913659</v>
      </c>
      <c r="AN6" s="41" t="n">
        <v>49.24840275913659</v>
      </c>
      <c r="AO6" s="41" t="n">
        <v>32.83226850609106</v>
      </c>
      <c r="AP6" s="41" t="n">
        <v>32.83226850609106</v>
      </c>
      <c r="AQ6" s="41" t="n">
        <v>41.2396018394244</v>
      </c>
      <c r="AR6" s="41" t="n">
        <v>41.2396018394244</v>
      </c>
      <c r="AS6" s="41" t="n">
        <v>41.2396018394244</v>
      </c>
      <c r="AT6" s="41" t="n">
        <v>0</v>
      </c>
      <c r="AU6" s="41" t="n">
        <v>0</v>
      </c>
      <c r="AV6" s="41" t="n">
        <v>0</v>
      </c>
      <c r="AW6" s="41" t="n">
        <v>0</v>
      </c>
      <c r="AX6" s="41" t="n">
        <v>0</v>
      </c>
      <c r="AY6" s="41" t="n">
        <v>0</v>
      </c>
      <c r="AZ6" s="41" t="n">
        <v>0</v>
      </c>
      <c r="BA6" s="41" t="n">
        <v>0</v>
      </c>
      <c r="BB6" s="41" t="n">
        <v>0</v>
      </c>
      <c r="BC6" s="41" t="n">
        <v>0</v>
      </c>
      <c r="BD6" s="41" t="n">
        <v>0</v>
      </c>
      <c r="BE6" s="41" t="n">
        <v>0</v>
      </c>
      <c r="BF6" s="41" t="n">
        <v>0</v>
      </c>
      <c r="BG6" s="41" t="n">
        <v>0</v>
      </c>
      <c r="BH6" s="41" t="n">
        <v>0</v>
      </c>
      <c r="BI6" s="41" t="n">
        <v>0</v>
      </c>
      <c r="BJ6" s="41" t="n">
        <v>0</v>
      </c>
      <c r="BK6" s="41" t="n">
        <v>0</v>
      </c>
      <c r="BL6" s="41" t="n">
        <v>0</v>
      </c>
      <c r="BM6" s="41" t="n">
        <v>0</v>
      </c>
      <c r="BN6" s="41" t="n">
        <v>0</v>
      </c>
      <c r="BO6" s="41" t="n">
        <v>0</v>
      </c>
      <c r="BP6" s="41" t="n">
        <v>0</v>
      </c>
      <c r="BQ6" s="41" t="n">
        <v>0</v>
      </c>
      <c r="BR6" s="41" t="n">
        <v>0</v>
      </c>
      <c r="BS6" s="41" t="n">
        <v>0</v>
      </c>
      <c r="BT6" s="41" t="n">
        <v>0</v>
      </c>
      <c r="BU6" s="41" t="n">
        <v>0</v>
      </c>
      <c r="BV6" s="41" t="n">
        <v>0</v>
      </c>
      <c r="BW6" s="41" t="n">
        <v>0</v>
      </c>
      <c r="BX6" s="41" t="n">
        <v>0</v>
      </c>
      <c r="BY6" s="41" t="n">
        <v>0</v>
      </c>
      <c r="BZ6" s="41" t="n">
        <v>0</v>
      </c>
      <c r="CA6" s="41" t="n">
        <v>0</v>
      </c>
      <c r="CB6" s="41" t="n">
        <v>0</v>
      </c>
      <c r="CC6" s="41" t="n">
        <v>0</v>
      </c>
      <c r="CD6" s="41" t="n">
        <v>0</v>
      </c>
      <c r="CE6" s="41" t="n">
        <v>0</v>
      </c>
      <c r="CF6" s="41" t="n">
        <v>0</v>
      </c>
      <c r="CG6" s="41" t="n">
        <v>0</v>
      </c>
      <c r="CH6" s="41" t="n">
        <v>0</v>
      </c>
      <c r="CI6" s="41" t="n">
        <v>0</v>
      </c>
      <c r="CJ6" s="41" t="n">
        <v>0</v>
      </c>
      <c r="CK6" s="41" t="n">
        <v>0</v>
      </c>
      <c r="CL6" s="41" t="n">
        <v>0</v>
      </c>
      <c r="CM6" s="41" t="n">
        <v>0</v>
      </c>
      <c r="CN6" s="41" t="n">
        <v>0</v>
      </c>
      <c r="CO6" s="41" t="n">
        <v>0</v>
      </c>
      <c r="CP6" s="41" t="n">
        <v>0</v>
      </c>
      <c r="CQ6" s="41" t="n">
        <v>0</v>
      </c>
      <c r="CR6" s="41" t="n">
        <v>0</v>
      </c>
      <c r="CS6" s="41" t="n">
        <v>0</v>
      </c>
      <c r="CT6" s="41" t="n">
        <v>0</v>
      </c>
      <c r="CU6" s="41" t="n">
        <v>0</v>
      </c>
      <c r="CV6" s="41" t="n">
        <v>0</v>
      </c>
      <c r="CW6" s="41" t="n">
        <v>0</v>
      </c>
      <c r="CX6" s="41" t="n">
        <v>0</v>
      </c>
      <c r="CY6" s="41" t="n">
        <v>0</v>
      </c>
      <c r="CZ6" s="41" t="n">
        <v>0</v>
      </c>
      <c r="DA6" s="41" t="n">
        <v>0</v>
      </c>
      <c r="DB6" s="41" t="n">
        <v>0</v>
      </c>
      <c r="DC6" s="41" t="n">
        <v>0</v>
      </c>
      <c r="DD6" s="41" t="n">
        <v>0</v>
      </c>
      <c r="DE6" s="41" t="n">
        <v>0</v>
      </c>
      <c r="DF6" s="41" t="n">
        <v>0</v>
      </c>
      <c r="DG6" s="41" t="n">
        <v>0</v>
      </c>
      <c r="DH6" s="41" t="n">
        <v>0</v>
      </c>
      <c r="DI6" s="41" t="n">
        <v>0</v>
      </c>
      <c r="DJ6" s="41" t="n">
        <v>0</v>
      </c>
      <c r="DK6" s="41" t="n">
        <v>0</v>
      </c>
      <c r="DL6" s="41" t="n">
        <v>0</v>
      </c>
      <c r="DM6" s="41" t="n">
        <v>0</v>
      </c>
    </row>
    <row r="7">
      <c r="A7" s="42" t="inlineStr">
        <is>
          <t>Все затраты на создание</t>
        </is>
      </c>
      <c r="B7" s="40">
        <f>SUM(D7:DM7)</f>
        <v/>
      </c>
      <c r="C7" s="37" t="inlineStr">
        <is>
          <t>млн ₽</t>
        </is>
      </c>
      <c r="D7" s="40">
        <f>'CAPEX'!D5+'CAPEX'!D6</f>
        <v/>
      </c>
      <c r="E7" s="40">
        <f>'CAPEX'!E5+'CAPEX'!E6</f>
        <v/>
      </c>
      <c r="F7" s="40">
        <f>'CAPEX'!F5+'CAPEX'!F6</f>
        <v/>
      </c>
      <c r="G7" s="40">
        <f>'CAPEX'!G5+'CAPEX'!G6</f>
        <v/>
      </c>
      <c r="H7" s="40">
        <f>'CAPEX'!H5+'CAPEX'!H6</f>
        <v/>
      </c>
      <c r="I7" s="40">
        <f>'CAPEX'!I5+'CAPEX'!I6</f>
        <v/>
      </c>
      <c r="J7" s="40">
        <f>'CAPEX'!J5+'CAPEX'!J6</f>
        <v/>
      </c>
      <c r="K7" s="40">
        <f>'CAPEX'!K5+'CAPEX'!K6</f>
        <v/>
      </c>
      <c r="L7" s="40">
        <f>'CAPEX'!L5+'CAPEX'!L6</f>
        <v/>
      </c>
      <c r="M7" s="40">
        <f>'CAPEX'!M5+'CAPEX'!M6</f>
        <v/>
      </c>
      <c r="N7" s="40">
        <f>'CAPEX'!N5+'CAPEX'!N6</f>
        <v/>
      </c>
      <c r="O7" s="40">
        <f>'CAPEX'!O5+'CAPEX'!O6</f>
        <v/>
      </c>
      <c r="P7" s="40">
        <f>'CAPEX'!P5+'CAPEX'!P6</f>
        <v/>
      </c>
      <c r="Q7" s="40">
        <f>'CAPEX'!Q5+'CAPEX'!Q6</f>
        <v/>
      </c>
      <c r="R7" s="40">
        <f>'CAPEX'!R5+'CAPEX'!R6</f>
        <v/>
      </c>
      <c r="S7" s="40">
        <f>'CAPEX'!S5+'CAPEX'!S6</f>
        <v/>
      </c>
      <c r="T7" s="40">
        <f>'CAPEX'!T5+'CAPEX'!T6</f>
        <v/>
      </c>
      <c r="U7" s="40">
        <f>'CAPEX'!U5+'CAPEX'!U6</f>
        <v/>
      </c>
      <c r="V7" s="40">
        <f>'CAPEX'!V5+'CAPEX'!V6</f>
        <v/>
      </c>
      <c r="W7" s="40">
        <f>'CAPEX'!W5+'CAPEX'!W6</f>
        <v/>
      </c>
      <c r="X7" s="40">
        <f>'CAPEX'!X5+'CAPEX'!X6</f>
        <v/>
      </c>
      <c r="Y7" s="40">
        <f>'CAPEX'!Y5+'CAPEX'!Y6</f>
        <v/>
      </c>
      <c r="Z7" s="40">
        <f>'CAPEX'!Z5+'CAPEX'!Z6</f>
        <v/>
      </c>
      <c r="AA7" s="40">
        <f>'CAPEX'!AA5+'CAPEX'!AA6</f>
        <v/>
      </c>
      <c r="AB7" s="40">
        <f>'CAPEX'!AB5+'CAPEX'!AB6</f>
        <v/>
      </c>
      <c r="AC7" s="40">
        <f>'CAPEX'!AC5+'CAPEX'!AC6</f>
        <v/>
      </c>
      <c r="AD7" s="40">
        <f>'CAPEX'!AD5+'CAPEX'!AD6</f>
        <v/>
      </c>
      <c r="AE7" s="40">
        <f>'CAPEX'!AE5+'CAPEX'!AE6</f>
        <v/>
      </c>
      <c r="AF7" s="40">
        <f>'CAPEX'!AF5+'CAPEX'!AF6</f>
        <v/>
      </c>
      <c r="AG7" s="40">
        <f>'CAPEX'!AG5+'CAPEX'!AG6</f>
        <v/>
      </c>
      <c r="AH7" s="40">
        <f>'CAPEX'!AH5+'CAPEX'!AH6</f>
        <v/>
      </c>
      <c r="AI7" s="40">
        <f>'CAPEX'!AI5+'CAPEX'!AI6</f>
        <v/>
      </c>
      <c r="AJ7" s="40">
        <f>'CAPEX'!AJ5+'CAPEX'!AJ6</f>
        <v/>
      </c>
      <c r="AK7" s="40">
        <f>'CAPEX'!AK5+'CAPEX'!AK6</f>
        <v/>
      </c>
      <c r="AL7" s="40">
        <f>'CAPEX'!AL5+'CAPEX'!AL6</f>
        <v/>
      </c>
      <c r="AM7" s="40">
        <f>'CAPEX'!AM5+'CAPEX'!AM6</f>
        <v/>
      </c>
      <c r="AN7" s="40">
        <f>'CAPEX'!AN5+'CAPEX'!AN6</f>
        <v/>
      </c>
      <c r="AO7" s="40">
        <f>'CAPEX'!AO5+'CAPEX'!AO6</f>
        <v/>
      </c>
      <c r="AP7" s="40">
        <f>'CAPEX'!AP5+'CAPEX'!AP6</f>
        <v/>
      </c>
      <c r="AQ7" s="40">
        <f>'CAPEX'!AQ5+'CAPEX'!AQ6</f>
        <v/>
      </c>
      <c r="AR7" s="40">
        <f>'CAPEX'!AR5+'CAPEX'!AR6</f>
        <v/>
      </c>
      <c r="AS7" s="40">
        <f>'CAPEX'!AS5+'CAPEX'!AS6</f>
        <v/>
      </c>
      <c r="AT7" s="40">
        <f>'CAPEX'!AT5+'CAPEX'!AT6</f>
        <v/>
      </c>
      <c r="AU7" s="40">
        <f>'CAPEX'!AU5+'CAPEX'!AU6</f>
        <v/>
      </c>
      <c r="AV7" s="40">
        <f>'CAPEX'!AV5+'CAPEX'!AV6</f>
        <v/>
      </c>
      <c r="AW7" s="40">
        <f>'CAPEX'!AW5+'CAPEX'!AW6</f>
        <v/>
      </c>
      <c r="AX7" s="40">
        <f>'CAPEX'!AX5+'CAPEX'!AX6</f>
        <v/>
      </c>
      <c r="AY7" s="40">
        <f>'CAPEX'!AY5+'CAPEX'!AY6</f>
        <v/>
      </c>
      <c r="AZ7" s="40">
        <f>'CAPEX'!AZ5+'CAPEX'!AZ6</f>
        <v/>
      </c>
      <c r="BA7" s="40">
        <f>'CAPEX'!BA5+'CAPEX'!BA6</f>
        <v/>
      </c>
      <c r="BB7" s="40">
        <f>'CAPEX'!BB5+'CAPEX'!BB6</f>
        <v/>
      </c>
      <c r="BC7" s="40">
        <f>'CAPEX'!BC5+'CAPEX'!BC6</f>
        <v/>
      </c>
      <c r="BD7" s="40">
        <f>'CAPEX'!BD5+'CAPEX'!BD6</f>
        <v/>
      </c>
      <c r="BE7" s="40">
        <f>'CAPEX'!BE5+'CAPEX'!BE6</f>
        <v/>
      </c>
      <c r="BF7" s="40">
        <f>'CAPEX'!BF5+'CAPEX'!BF6</f>
        <v/>
      </c>
      <c r="BG7" s="40">
        <f>'CAPEX'!BG5+'CAPEX'!BG6</f>
        <v/>
      </c>
      <c r="BH7" s="40">
        <f>'CAPEX'!BH5+'CAPEX'!BH6</f>
        <v/>
      </c>
      <c r="BI7" s="40">
        <f>'CAPEX'!BI5+'CAPEX'!BI6</f>
        <v/>
      </c>
      <c r="BJ7" s="40">
        <f>'CAPEX'!BJ5+'CAPEX'!BJ6</f>
        <v/>
      </c>
      <c r="BK7" s="40">
        <f>'CAPEX'!BK5+'CAPEX'!BK6</f>
        <v/>
      </c>
      <c r="BL7" s="40">
        <f>'CAPEX'!BL5+'CAPEX'!BL6</f>
        <v/>
      </c>
      <c r="BM7" s="40">
        <f>'CAPEX'!BM5+'CAPEX'!BM6</f>
        <v/>
      </c>
      <c r="BN7" s="40">
        <f>'CAPEX'!BN5+'CAPEX'!BN6</f>
        <v/>
      </c>
      <c r="BO7" s="40">
        <f>'CAPEX'!BO5+'CAPEX'!BO6</f>
        <v/>
      </c>
      <c r="BP7" s="40">
        <f>'CAPEX'!BP5+'CAPEX'!BP6</f>
        <v/>
      </c>
      <c r="BQ7" s="40">
        <f>'CAPEX'!BQ5+'CAPEX'!BQ6</f>
        <v/>
      </c>
      <c r="BR7" s="40">
        <f>'CAPEX'!BR5+'CAPEX'!BR6</f>
        <v/>
      </c>
      <c r="BS7" s="40">
        <f>'CAPEX'!BS5+'CAPEX'!BS6</f>
        <v/>
      </c>
      <c r="BT7" s="40">
        <f>'CAPEX'!BT5+'CAPEX'!BT6</f>
        <v/>
      </c>
      <c r="BU7" s="40">
        <f>'CAPEX'!BU5+'CAPEX'!BU6</f>
        <v/>
      </c>
      <c r="BV7" s="40">
        <f>'CAPEX'!BV5+'CAPEX'!BV6</f>
        <v/>
      </c>
      <c r="BW7" s="40">
        <f>'CAPEX'!BW5+'CAPEX'!BW6</f>
        <v/>
      </c>
      <c r="BX7" s="40">
        <f>'CAPEX'!BX5+'CAPEX'!BX6</f>
        <v/>
      </c>
      <c r="BY7" s="40">
        <f>'CAPEX'!BY5+'CAPEX'!BY6</f>
        <v/>
      </c>
      <c r="BZ7" s="40">
        <f>'CAPEX'!BZ5+'CAPEX'!BZ6</f>
        <v/>
      </c>
      <c r="CA7" s="40">
        <f>'CAPEX'!CA5+'CAPEX'!CA6</f>
        <v/>
      </c>
      <c r="CB7" s="40">
        <f>'CAPEX'!CB5+'CAPEX'!CB6</f>
        <v/>
      </c>
      <c r="CC7" s="40">
        <f>'CAPEX'!CC5+'CAPEX'!CC6</f>
        <v/>
      </c>
      <c r="CD7" s="40">
        <f>'CAPEX'!CD5+'CAPEX'!CD6</f>
        <v/>
      </c>
      <c r="CE7" s="40">
        <f>'CAPEX'!CE5+'CAPEX'!CE6</f>
        <v/>
      </c>
      <c r="CF7" s="40">
        <f>'CAPEX'!CF5+'CAPEX'!CF6</f>
        <v/>
      </c>
      <c r="CG7" s="40">
        <f>'CAPEX'!CG5+'CAPEX'!CG6</f>
        <v/>
      </c>
      <c r="CH7" s="40">
        <f>'CAPEX'!CH5+'CAPEX'!CH6</f>
        <v/>
      </c>
      <c r="CI7" s="40">
        <f>'CAPEX'!CI5+'CAPEX'!CI6</f>
        <v/>
      </c>
      <c r="CJ7" s="40">
        <f>'CAPEX'!CJ5+'CAPEX'!CJ6</f>
        <v/>
      </c>
      <c r="CK7" s="40">
        <f>'CAPEX'!CK5+'CAPEX'!CK6</f>
        <v/>
      </c>
      <c r="CL7" s="40">
        <f>'CAPEX'!CL5+'CAPEX'!CL6</f>
        <v/>
      </c>
      <c r="CM7" s="40">
        <f>'CAPEX'!CM5+'CAPEX'!CM6</f>
        <v/>
      </c>
      <c r="CN7" s="40">
        <f>'CAPEX'!CN5+'CAPEX'!CN6</f>
        <v/>
      </c>
      <c r="CO7" s="40">
        <f>'CAPEX'!CO5+'CAPEX'!CO6</f>
        <v/>
      </c>
      <c r="CP7" s="40">
        <f>'CAPEX'!CP5+'CAPEX'!CP6</f>
        <v/>
      </c>
      <c r="CQ7" s="40">
        <f>'CAPEX'!CQ5+'CAPEX'!CQ6</f>
        <v/>
      </c>
      <c r="CR7" s="40">
        <f>'CAPEX'!CR5+'CAPEX'!CR6</f>
        <v/>
      </c>
      <c r="CS7" s="40">
        <f>'CAPEX'!CS5+'CAPEX'!CS6</f>
        <v/>
      </c>
      <c r="CT7" s="40">
        <f>'CAPEX'!CT5+'CAPEX'!CT6</f>
        <v/>
      </c>
      <c r="CU7" s="40">
        <f>'CAPEX'!CU5+'CAPEX'!CU6</f>
        <v/>
      </c>
      <c r="CV7" s="40">
        <f>'CAPEX'!CV5+'CAPEX'!CV6</f>
        <v/>
      </c>
      <c r="CW7" s="40">
        <f>'CAPEX'!CW5+'CAPEX'!CW6</f>
        <v/>
      </c>
      <c r="CX7" s="40">
        <f>'CAPEX'!CX5+'CAPEX'!CX6</f>
        <v/>
      </c>
      <c r="CY7" s="40">
        <f>'CAPEX'!CY5+'CAPEX'!CY6</f>
        <v/>
      </c>
      <c r="CZ7" s="40">
        <f>'CAPEX'!CZ5+'CAPEX'!CZ6</f>
        <v/>
      </c>
      <c r="DA7" s="40">
        <f>'CAPEX'!DA5+'CAPEX'!DA6</f>
        <v/>
      </c>
      <c r="DB7" s="40">
        <f>'CAPEX'!DB5+'CAPEX'!DB6</f>
        <v/>
      </c>
      <c r="DC7" s="40">
        <f>'CAPEX'!DC5+'CAPEX'!DC6</f>
        <v/>
      </c>
      <c r="DD7" s="40">
        <f>'CAPEX'!DD5+'CAPEX'!DD6</f>
        <v/>
      </c>
      <c r="DE7" s="40">
        <f>'CAPEX'!DE5+'CAPEX'!DE6</f>
        <v/>
      </c>
      <c r="DF7" s="40">
        <f>'CAPEX'!DF5+'CAPEX'!DF6</f>
        <v/>
      </c>
      <c r="DG7" s="40">
        <f>'CAPEX'!DG5+'CAPEX'!DG6</f>
        <v/>
      </c>
      <c r="DH7" s="40">
        <f>'CAPEX'!DH5+'CAPEX'!DH6</f>
        <v/>
      </c>
      <c r="DI7" s="40">
        <f>'CAPEX'!DI5+'CAPEX'!DI6</f>
        <v/>
      </c>
      <c r="DJ7" s="40">
        <f>'CAPEX'!DJ5+'CAPEX'!DJ6</f>
        <v/>
      </c>
      <c r="DK7" s="40">
        <f>'CAPEX'!DK5+'CAPEX'!DK6</f>
        <v/>
      </c>
      <c r="DL7" s="40">
        <f>'CAPEX'!DL5+'CAPEX'!DL6</f>
        <v/>
      </c>
      <c r="DM7" s="40">
        <f>'CAPEX'!DM5+'CAPEX'!DM6</f>
        <v/>
      </c>
    </row>
    <row r="8">
      <c r="A8" t="inlineStr">
        <is>
          <t>Стоимость здания без НДС (база налога на имущество)</t>
        </is>
      </c>
      <c r="B8" s="26">
        <f>'CAPEX'!B5*(1-'Вводные'!$B$11/(1+'Вводные'!$B$11))</f>
        <v/>
      </c>
      <c r="C8" s="3" t="inlineStr">
        <is>
          <t>млн ₽</t>
        </is>
      </c>
    </row>
    <row r="9">
      <c r="A9" t="inlineStr">
        <is>
          <t>Все затраты на создание, итого</t>
        </is>
      </c>
      <c r="B9" s="26">
        <f>'CAPEX'!B7</f>
        <v/>
      </c>
      <c r="C9" s="3" t="inlineStr">
        <is>
          <t>млн ₽</t>
        </is>
      </c>
    </row>
  </sheetData>
  <pageMargins left="0.75" right="0.75" top="1" bottom="1" header="0.5" footer="0.5"/>
  <pageSetup orientation="landscape" scale="52" fitToHeight="0" fitToWidth="1"/>
  <colBreaks count="9" manualBreakCount="9">
    <brk id="15" min="0" max="16383" man="1"/>
    <brk id="27" min="0" max="16383" man="1"/>
    <brk id="39" min="0" max="16383" man="1"/>
    <brk id="51" min="0" max="16383" man="1"/>
    <brk id="63" min="0" max="16383" man="1"/>
    <brk id="75" min="0" max="16383" man="1"/>
    <brk id="87" min="0" max="16383" man="1"/>
    <brk id="99" min="0" max="16383" man="1"/>
    <brk id="111" min="0" max="16383" man="1"/>
  </colBreaks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0"/>
  </sheetPr>
  <dimension ref="A1:DN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</cols>
  <sheetData>
    <row r="1">
      <c r="A1" s="1" t="inlineStr">
        <is>
          <t>СТАВКИ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</row>
    <row r="2">
      <c r="A2" s="3" t="inlineStr">
        <is>
          <t>Ключевая ставка — сценарий движка (значения). Ставка кредита = ключевая + надбавка.</t>
        </is>
      </c>
    </row>
    <row r="3">
      <c r="A3" s="9" t="inlineStr">
        <is>
          <t>Показатель</t>
        </is>
      </c>
      <c r="B3" s="9" t="inlineStr">
        <is>
          <t>Итого / вводная</t>
        </is>
      </c>
      <c r="C3" s="9" t="inlineStr">
        <is>
          <t>Ед.</t>
        </is>
      </c>
      <c r="D3" s="34">
        <f>СРОКИ!D3</f>
        <v/>
      </c>
      <c r="E3" s="34">
        <f>СРОКИ!E3</f>
        <v/>
      </c>
      <c r="F3" s="34">
        <f>СРОКИ!F3</f>
        <v/>
      </c>
      <c r="G3" s="34">
        <f>СРОКИ!G3</f>
        <v/>
      </c>
      <c r="H3" s="34">
        <f>СРОКИ!H3</f>
        <v/>
      </c>
      <c r="I3" s="34">
        <f>СРОКИ!I3</f>
        <v/>
      </c>
      <c r="J3" s="34">
        <f>СРОКИ!J3</f>
        <v/>
      </c>
      <c r="K3" s="34">
        <f>СРОКИ!K3</f>
        <v/>
      </c>
      <c r="L3" s="34">
        <f>СРОКИ!L3</f>
        <v/>
      </c>
      <c r="M3" s="34">
        <f>СРОКИ!M3</f>
        <v/>
      </c>
      <c r="N3" s="34">
        <f>СРОКИ!N3</f>
        <v/>
      </c>
      <c r="O3" s="34">
        <f>СРОКИ!O3</f>
        <v/>
      </c>
      <c r="P3" s="34">
        <f>СРОКИ!P3</f>
        <v/>
      </c>
      <c r="Q3" s="34">
        <f>СРОКИ!Q3</f>
        <v/>
      </c>
      <c r="R3" s="34">
        <f>СРОКИ!R3</f>
        <v/>
      </c>
      <c r="S3" s="34">
        <f>СРОКИ!S3</f>
        <v/>
      </c>
      <c r="T3" s="34">
        <f>СРОКИ!T3</f>
        <v/>
      </c>
      <c r="U3" s="34">
        <f>СРОКИ!U3</f>
        <v/>
      </c>
      <c r="V3" s="34">
        <f>СРОКИ!V3</f>
        <v/>
      </c>
      <c r="W3" s="34">
        <f>СРОКИ!W3</f>
        <v/>
      </c>
      <c r="X3" s="34">
        <f>СРОКИ!X3</f>
        <v/>
      </c>
      <c r="Y3" s="34">
        <f>СРОКИ!Y3</f>
        <v/>
      </c>
      <c r="Z3" s="34">
        <f>СРОКИ!Z3</f>
        <v/>
      </c>
      <c r="AA3" s="34">
        <f>СРОКИ!AA3</f>
        <v/>
      </c>
      <c r="AB3" s="34">
        <f>СРОКИ!AB3</f>
        <v/>
      </c>
      <c r="AC3" s="34">
        <f>СРОКИ!AC3</f>
        <v/>
      </c>
      <c r="AD3" s="34">
        <f>СРОКИ!AD3</f>
        <v/>
      </c>
      <c r="AE3" s="34">
        <f>СРОКИ!AE3</f>
        <v/>
      </c>
      <c r="AF3" s="34">
        <f>СРОКИ!AF3</f>
        <v/>
      </c>
      <c r="AG3" s="34">
        <f>СРОКИ!AG3</f>
        <v/>
      </c>
      <c r="AH3" s="34">
        <f>СРОКИ!AH3</f>
        <v/>
      </c>
      <c r="AI3" s="34">
        <f>СРОКИ!AI3</f>
        <v/>
      </c>
      <c r="AJ3" s="34">
        <f>СРОКИ!AJ3</f>
        <v/>
      </c>
      <c r="AK3" s="34">
        <f>СРОКИ!AK3</f>
        <v/>
      </c>
      <c r="AL3" s="34">
        <f>СРОКИ!AL3</f>
        <v/>
      </c>
      <c r="AM3" s="34">
        <f>СРОКИ!AM3</f>
        <v/>
      </c>
      <c r="AN3" s="34">
        <f>СРОКИ!AN3</f>
        <v/>
      </c>
      <c r="AO3" s="34">
        <f>СРОКИ!AO3</f>
        <v/>
      </c>
      <c r="AP3" s="34">
        <f>СРОКИ!AP3</f>
        <v/>
      </c>
      <c r="AQ3" s="34">
        <f>СРОКИ!AQ3</f>
        <v/>
      </c>
      <c r="AR3" s="34">
        <f>СРОКИ!AR3</f>
        <v/>
      </c>
      <c r="AS3" s="34">
        <f>СРОКИ!AS3</f>
        <v/>
      </c>
      <c r="AT3" s="34">
        <f>СРОКИ!AT3</f>
        <v/>
      </c>
      <c r="AU3" s="34">
        <f>СРОКИ!AU3</f>
        <v/>
      </c>
      <c r="AV3" s="34">
        <f>СРОКИ!AV3</f>
        <v/>
      </c>
      <c r="AW3" s="34">
        <f>СРОКИ!AW3</f>
        <v/>
      </c>
      <c r="AX3" s="34">
        <f>СРОКИ!AX3</f>
        <v/>
      </c>
      <c r="AY3" s="34">
        <f>СРОКИ!AY3</f>
        <v/>
      </c>
      <c r="AZ3" s="34">
        <f>СРОКИ!AZ3</f>
        <v/>
      </c>
      <c r="BA3" s="34">
        <f>СРОКИ!BA3</f>
        <v/>
      </c>
      <c r="BB3" s="34">
        <f>СРОКИ!BB3</f>
        <v/>
      </c>
      <c r="BC3" s="34">
        <f>СРОКИ!BC3</f>
        <v/>
      </c>
      <c r="BD3" s="34">
        <f>СРОКИ!BD3</f>
        <v/>
      </c>
      <c r="BE3" s="34">
        <f>СРОКИ!BE3</f>
        <v/>
      </c>
      <c r="BF3" s="34">
        <f>СРОКИ!BF3</f>
        <v/>
      </c>
      <c r="BG3" s="34">
        <f>СРОКИ!BG3</f>
        <v/>
      </c>
      <c r="BH3" s="34">
        <f>СРОКИ!BH3</f>
        <v/>
      </c>
      <c r="BI3" s="34">
        <f>СРОКИ!BI3</f>
        <v/>
      </c>
      <c r="BJ3" s="34">
        <f>СРОКИ!BJ3</f>
        <v/>
      </c>
      <c r="BK3" s="34">
        <f>СРОКИ!BK3</f>
        <v/>
      </c>
      <c r="BL3" s="34">
        <f>СРОКИ!BL3</f>
        <v/>
      </c>
      <c r="BM3" s="34">
        <f>СРОКИ!BM3</f>
        <v/>
      </c>
      <c r="BN3" s="34">
        <f>СРОКИ!BN3</f>
        <v/>
      </c>
      <c r="BO3" s="34">
        <f>СРОКИ!BO3</f>
        <v/>
      </c>
      <c r="BP3" s="34">
        <f>СРОКИ!BP3</f>
        <v/>
      </c>
      <c r="BQ3" s="34">
        <f>СРОКИ!BQ3</f>
        <v/>
      </c>
      <c r="BR3" s="34">
        <f>СРОКИ!BR3</f>
        <v/>
      </c>
      <c r="BS3" s="34">
        <f>СРОКИ!BS3</f>
        <v/>
      </c>
      <c r="BT3" s="34">
        <f>СРОКИ!BT3</f>
        <v/>
      </c>
      <c r="BU3" s="34">
        <f>СРОКИ!BU3</f>
        <v/>
      </c>
      <c r="BV3" s="34">
        <f>СРОКИ!BV3</f>
        <v/>
      </c>
      <c r="BW3" s="34">
        <f>СРОКИ!BW3</f>
        <v/>
      </c>
      <c r="BX3" s="34">
        <f>СРОКИ!BX3</f>
        <v/>
      </c>
      <c r="BY3" s="34">
        <f>СРОКИ!BY3</f>
        <v/>
      </c>
      <c r="BZ3" s="34">
        <f>СРОКИ!BZ3</f>
        <v/>
      </c>
      <c r="CA3" s="34">
        <f>СРОКИ!CA3</f>
        <v/>
      </c>
      <c r="CB3" s="34">
        <f>СРОКИ!CB3</f>
        <v/>
      </c>
      <c r="CC3" s="34">
        <f>СРОКИ!CC3</f>
        <v/>
      </c>
      <c r="CD3" s="34">
        <f>СРОКИ!CD3</f>
        <v/>
      </c>
      <c r="CE3" s="34">
        <f>СРОКИ!CE3</f>
        <v/>
      </c>
      <c r="CF3" s="34">
        <f>СРОКИ!CF3</f>
        <v/>
      </c>
      <c r="CG3" s="34">
        <f>СРОКИ!CG3</f>
        <v/>
      </c>
      <c r="CH3" s="34">
        <f>СРОКИ!CH3</f>
        <v/>
      </c>
      <c r="CI3" s="34">
        <f>СРОКИ!CI3</f>
        <v/>
      </c>
      <c r="CJ3" s="34">
        <f>СРОКИ!CJ3</f>
        <v/>
      </c>
      <c r="CK3" s="34">
        <f>СРОКИ!CK3</f>
        <v/>
      </c>
      <c r="CL3" s="34">
        <f>СРОКИ!CL3</f>
        <v/>
      </c>
      <c r="CM3" s="34">
        <f>СРОКИ!CM3</f>
        <v/>
      </c>
      <c r="CN3" s="34">
        <f>СРОКИ!CN3</f>
        <v/>
      </c>
      <c r="CO3" s="34">
        <f>СРОКИ!CO3</f>
        <v/>
      </c>
      <c r="CP3" s="34">
        <f>СРОКИ!CP3</f>
        <v/>
      </c>
      <c r="CQ3" s="34">
        <f>СРОКИ!CQ3</f>
        <v/>
      </c>
      <c r="CR3" s="34">
        <f>СРОКИ!CR3</f>
        <v/>
      </c>
      <c r="CS3" s="34">
        <f>СРОКИ!CS3</f>
        <v/>
      </c>
      <c r="CT3" s="34">
        <f>СРОКИ!CT3</f>
        <v/>
      </c>
      <c r="CU3" s="34">
        <f>СРОКИ!CU3</f>
        <v/>
      </c>
      <c r="CV3" s="34">
        <f>СРОКИ!CV3</f>
        <v/>
      </c>
      <c r="CW3" s="34">
        <f>СРОКИ!CW3</f>
        <v/>
      </c>
      <c r="CX3" s="34">
        <f>СРОКИ!CX3</f>
        <v/>
      </c>
      <c r="CY3" s="34">
        <f>СРОКИ!CY3</f>
        <v/>
      </c>
      <c r="CZ3" s="34">
        <f>СРОКИ!CZ3</f>
        <v/>
      </c>
      <c r="DA3" s="34">
        <f>СРОКИ!DA3</f>
        <v/>
      </c>
      <c r="DB3" s="34">
        <f>СРОКИ!DB3</f>
        <v/>
      </c>
      <c r="DC3" s="34">
        <f>СРОКИ!DC3</f>
        <v/>
      </c>
      <c r="DD3" s="34">
        <f>СРОКИ!DD3</f>
        <v/>
      </c>
      <c r="DE3" s="34">
        <f>СРОКИ!DE3</f>
        <v/>
      </c>
      <c r="DF3" s="34">
        <f>СРОКИ!DF3</f>
        <v/>
      </c>
      <c r="DG3" s="34">
        <f>СРОКИ!DG3</f>
        <v/>
      </c>
      <c r="DH3" s="34">
        <f>СРОКИ!DH3</f>
        <v/>
      </c>
      <c r="DI3" s="34">
        <f>СРОКИ!DI3</f>
        <v/>
      </c>
      <c r="DJ3" s="34">
        <f>СРОКИ!DJ3</f>
        <v/>
      </c>
      <c r="DK3" s="34">
        <f>СРОКИ!DK3</f>
        <v/>
      </c>
      <c r="DL3" s="34">
        <f>СРОКИ!DL3</f>
        <v/>
      </c>
      <c r="DM3" s="34">
        <f>СРОКИ!DM3</f>
        <v/>
      </c>
    </row>
    <row r="4">
      <c r="A4" t="inlineStr">
        <is>
          <t>Период</t>
        </is>
      </c>
      <c r="C4" t="inlineStr">
        <is>
          <t>№</t>
        </is>
      </c>
      <c r="D4" s="35" t="n">
        <v>0</v>
      </c>
      <c r="E4" s="35" t="n">
        <v>1</v>
      </c>
      <c r="F4" s="35" t="n">
        <v>2</v>
      </c>
      <c r="G4" s="35" t="n">
        <v>3</v>
      </c>
      <c r="H4" s="35" t="n">
        <v>4</v>
      </c>
      <c r="I4" s="35" t="n">
        <v>5</v>
      </c>
      <c r="J4" s="35" t="n">
        <v>6</v>
      </c>
      <c r="K4" s="35" t="n">
        <v>7</v>
      </c>
      <c r="L4" s="35" t="n">
        <v>8</v>
      </c>
      <c r="M4" s="35" t="n">
        <v>9</v>
      </c>
      <c r="N4" s="35" t="n">
        <v>10</v>
      </c>
      <c r="O4" s="35" t="n">
        <v>11</v>
      </c>
      <c r="P4" s="35" t="n">
        <v>12</v>
      </c>
      <c r="Q4" s="35" t="n">
        <v>13</v>
      </c>
      <c r="R4" s="35" t="n">
        <v>14</v>
      </c>
      <c r="S4" s="35" t="n">
        <v>15</v>
      </c>
      <c r="T4" s="35" t="n">
        <v>16</v>
      </c>
      <c r="U4" s="35" t="n">
        <v>17</v>
      </c>
      <c r="V4" s="35" t="n">
        <v>18</v>
      </c>
      <c r="W4" s="35" t="n">
        <v>19</v>
      </c>
      <c r="X4" s="35" t="n">
        <v>20</v>
      </c>
      <c r="Y4" s="35" t="n">
        <v>21</v>
      </c>
      <c r="Z4" s="35" t="n">
        <v>22</v>
      </c>
      <c r="AA4" s="35" t="n">
        <v>23</v>
      </c>
      <c r="AB4" s="35" t="n">
        <v>24</v>
      </c>
      <c r="AC4" s="35" t="n">
        <v>25</v>
      </c>
      <c r="AD4" s="35" t="n">
        <v>26</v>
      </c>
      <c r="AE4" s="35" t="n">
        <v>27</v>
      </c>
      <c r="AF4" s="35" t="n">
        <v>28</v>
      </c>
      <c r="AG4" s="35" t="n">
        <v>29</v>
      </c>
      <c r="AH4" s="35" t="n">
        <v>30</v>
      </c>
      <c r="AI4" s="35" t="n">
        <v>31</v>
      </c>
      <c r="AJ4" s="35" t="n">
        <v>32</v>
      </c>
      <c r="AK4" s="35" t="n">
        <v>33</v>
      </c>
      <c r="AL4" s="35" t="n">
        <v>34</v>
      </c>
      <c r="AM4" s="35" t="n">
        <v>35</v>
      </c>
      <c r="AN4" s="35" t="n">
        <v>36</v>
      </c>
      <c r="AO4" s="35" t="n">
        <v>37</v>
      </c>
      <c r="AP4" s="35" t="n">
        <v>38</v>
      </c>
      <c r="AQ4" s="35" t="n">
        <v>39</v>
      </c>
      <c r="AR4" s="35" t="n">
        <v>40</v>
      </c>
      <c r="AS4" s="35" t="n">
        <v>41</v>
      </c>
      <c r="AT4" s="35" t="n">
        <v>42</v>
      </c>
      <c r="AU4" s="35" t="n">
        <v>43</v>
      </c>
      <c r="AV4" s="35" t="n">
        <v>44</v>
      </c>
      <c r="AW4" s="35" t="n">
        <v>45</v>
      </c>
      <c r="AX4" s="35" t="n">
        <v>46</v>
      </c>
      <c r="AY4" s="35" t="n">
        <v>47</v>
      </c>
      <c r="AZ4" s="35" t="n">
        <v>48</v>
      </c>
      <c r="BA4" s="35" t="n">
        <v>49</v>
      </c>
      <c r="BB4" s="35" t="n">
        <v>50</v>
      </c>
      <c r="BC4" s="35" t="n">
        <v>51</v>
      </c>
      <c r="BD4" s="35" t="n">
        <v>52</v>
      </c>
      <c r="BE4" s="35" t="n">
        <v>53</v>
      </c>
      <c r="BF4" s="35" t="n">
        <v>54</v>
      </c>
      <c r="BG4" s="35" t="n">
        <v>55</v>
      </c>
      <c r="BH4" s="35" t="n">
        <v>56</v>
      </c>
      <c r="BI4" s="35" t="n">
        <v>57</v>
      </c>
      <c r="BJ4" s="35" t="n">
        <v>58</v>
      </c>
      <c r="BK4" s="35" t="n">
        <v>59</v>
      </c>
      <c r="BL4" s="35" t="n">
        <v>60</v>
      </c>
      <c r="BM4" s="35" t="n">
        <v>61</v>
      </c>
      <c r="BN4" s="35" t="n">
        <v>62</v>
      </c>
      <c r="BO4" s="35" t="n">
        <v>63</v>
      </c>
      <c r="BP4" s="35" t="n">
        <v>64</v>
      </c>
      <c r="BQ4" s="35" t="n">
        <v>65</v>
      </c>
      <c r="BR4" s="35" t="n">
        <v>66</v>
      </c>
      <c r="BS4" s="35" t="n">
        <v>67</v>
      </c>
      <c r="BT4" s="35" t="n">
        <v>68</v>
      </c>
      <c r="BU4" s="35" t="n">
        <v>69</v>
      </c>
      <c r="BV4" s="35" t="n">
        <v>70</v>
      </c>
      <c r="BW4" s="35" t="n">
        <v>71</v>
      </c>
      <c r="BX4" s="35" t="n">
        <v>72</v>
      </c>
      <c r="BY4" s="35" t="n">
        <v>73</v>
      </c>
      <c r="BZ4" s="35" t="n">
        <v>74</v>
      </c>
      <c r="CA4" s="35" t="n">
        <v>75</v>
      </c>
      <c r="CB4" s="35" t="n">
        <v>76</v>
      </c>
      <c r="CC4" s="35" t="n">
        <v>77</v>
      </c>
      <c r="CD4" s="35" t="n">
        <v>78</v>
      </c>
      <c r="CE4" s="35" t="n">
        <v>79</v>
      </c>
      <c r="CF4" s="35" t="n">
        <v>80</v>
      </c>
      <c r="CG4" s="35" t="n">
        <v>81</v>
      </c>
      <c r="CH4" s="35" t="n">
        <v>82</v>
      </c>
      <c r="CI4" s="35" t="n">
        <v>83</v>
      </c>
      <c r="CJ4" s="35" t="n">
        <v>84</v>
      </c>
      <c r="CK4" s="35" t="n">
        <v>85</v>
      </c>
      <c r="CL4" s="35" t="n">
        <v>86</v>
      </c>
      <c r="CM4" s="35" t="n">
        <v>87</v>
      </c>
      <c r="CN4" s="35" t="n">
        <v>88</v>
      </c>
      <c r="CO4" s="35" t="n">
        <v>89</v>
      </c>
      <c r="CP4" s="35" t="n">
        <v>90</v>
      </c>
      <c r="CQ4" s="35" t="n">
        <v>91</v>
      </c>
      <c r="CR4" s="35" t="n">
        <v>92</v>
      </c>
      <c r="CS4" s="35" t="n">
        <v>93</v>
      </c>
      <c r="CT4" s="35" t="n">
        <v>94</v>
      </c>
      <c r="CU4" s="35" t="n">
        <v>95</v>
      </c>
      <c r="CV4" s="35" t="n">
        <v>96</v>
      </c>
      <c r="CW4" s="35" t="n">
        <v>97</v>
      </c>
      <c r="CX4" s="35" t="n">
        <v>98</v>
      </c>
      <c r="CY4" s="35" t="n">
        <v>99</v>
      </c>
      <c r="CZ4" s="35" t="n">
        <v>100</v>
      </c>
      <c r="DA4" s="35" t="n">
        <v>101</v>
      </c>
      <c r="DB4" s="35" t="n">
        <v>102</v>
      </c>
      <c r="DC4" s="35" t="n">
        <v>103</v>
      </c>
      <c r="DD4" s="35" t="n">
        <v>104</v>
      </c>
      <c r="DE4" s="35" t="n">
        <v>105</v>
      </c>
      <c r="DF4" s="35" t="n">
        <v>106</v>
      </c>
      <c r="DG4" s="35" t="n">
        <v>107</v>
      </c>
      <c r="DH4" s="35" t="n">
        <v>108</v>
      </c>
      <c r="DI4" s="35" t="n">
        <v>109</v>
      </c>
      <c r="DJ4" s="35" t="n">
        <v>110</v>
      </c>
      <c r="DK4" s="35" t="n">
        <v>111</v>
      </c>
      <c r="DL4" s="35" t="n">
        <v>112</v>
      </c>
      <c r="DM4" s="35" t="n">
        <v>113</v>
      </c>
    </row>
    <row r="5">
      <c r="A5" s="39" t="inlineStr">
        <is>
          <t>Ключевая ставка</t>
        </is>
      </c>
      <c r="B5" s="10" t="n"/>
      <c r="C5" s="37" t="inlineStr"/>
      <c r="D5" s="43" t="n">
        <v>0.1202952888447278</v>
      </c>
      <c r="E5" s="43" t="n">
        <v>0.1172472883038294</v>
      </c>
      <c r="F5" s="43" t="n">
        <v>0.1144429924303888</v>
      </c>
      <c r="G5" s="43" t="n">
        <v>0.1118629156750616</v>
      </c>
      <c r="H5" s="43" t="n">
        <v>0.1094891304670079</v>
      </c>
      <c r="I5" s="43" t="n">
        <v>0.1073051426448084</v>
      </c>
      <c r="J5" s="43" t="n">
        <v>0.1052957768473753</v>
      </c>
      <c r="K5" s="43" t="n">
        <v>0.1034470710684998</v>
      </c>
      <c r="L5" s="43" t="n">
        <v>0.1017461796423524</v>
      </c>
      <c r="M5" s="43" t="n">
        <v>0.1001812839858345</v>
      </c>
      <c r="N5" s="43" t="n">
        <v>0.09874151047757768</v>
      </c>
      <c r="O5" s="43" t="n">
        <v>0.09741685490297464</v>
      </c>
      <c r="P5" s="43" t="n">
        <v>0.09619811294025352</v>
      </c>
      <c r="Q5" s="43" t="n">
        <v>0.0950768162045776</v>
      </c>
      <c r="R5" s="43" t="n">
        <v>0.09404517340577685</v>
      </c>
      <c r="S5" s="43" t="n">
        <v>0.09309601621084766</v>
      </c>
      <c r="T5" s="43" t="n">
        <v>0.09222274943504784</v>
      </c>
      <c r="U5" s="43" t="n">
        <v>0.09141930521549185</v>
      </c>
      <c r="V5" s="43" t="n">
        <v>0.09068010084882314</v>
      </c>
      <c r="W5" s="43" t="n">
        <v>0.09</v>
      </c>
      <c r="X5" s="43" t="n">
        <v>0.09</v>
      </c>
      <c r="Y5" s="43" t="n">
        <v>0.09</v>
      </c>
      <c r="Z5" s="43" t="n">
        <v>0.09</v>
      </c>
      <c r="AA5" s="43" t="n">
        <v>0.09</v>
      </c>
      <c r="AB5" s="43" t="n">
        <v>0.09</v>
      </c>
      <c r="AC5" s="43" t="n">
        <v>0.09</v>
      </c>
      <c r="AD5" s="43" t="n">
        <v>0.09</v>
      </c>
      <c r="AE5" s="43" t="n">
        <v>0.09</v>
      </c>
      <c r="AF5" s="43" t="n">
        <v>0.09</v>
      </c>
      <c r="AG5" s="43" t="n">
        <v>0.09</v>
      </c>
      <c r="AH5" s="43" t="n">
        <v>0.09</v>
      </c>
      <c r="AI5" s="43" t="n">
        <v>0.09</v>
      </c>
      <c r="AJ5" s="43" t="n">
        <v>0.09</v>
      </c>
      <c r="AK5" s="43" t="n">
        <v>0.09</v>
      </c>
      <c r="AL5" s="43" t="n">
        <v>0.09</v>
      </c>
      <c r="AM5" s="43" t="n">
        <v>0.09</v>
      </c>
      <c r="AN5" s="43" t="n">
        <v>0.09</v>
      </c>
      <c r="AO5" s="43" t="n">
        <v>0.09</v>
      </c>
      <c r="AP5" s="43" t="n">
        <v>0.09</v>
      </c>
      <c r="AQ5" s="43" t="n">
        <v>0.09</v>
      </c>
      <c r="AR5" s="43" t="n">
        <v>0.09</v>
      </c>
      <c r="AS5" s="43" t="n">
        <v>0.09</v>
      </c>
      <c r="AT5" s="43" t="n">
        <v>0.09</v>
      </c>
      <c r="AU5" s="43" t="n">
        <v>0.09</v>
      </c>
      <c r="AV5" s="43" t="n">
        <v>0.09</v>
      </c>
      <c r="AW5" s="43" t="n">
        <v>0.09</v>
      </c>
      <c r="AX5" s="43" t="n">
        <v>0.09</v>
      </c>
      <c r="AY5" s="43" t="n">
        <v>0.09</v>
      </c>
      <c r="AZ5" s="43" t="n">
        <v>0.09</v>
      </c>
      <c r="BA5" s="43" t="n">
        <v>0.09</v>
      </c>
      <c r="BB5" s="43" t="n">
        <v>0.09</v>
      </c>
      <c r="BC5" s="43" t="n">
        <v>0.09</v>
      </c>
      <c r="BD5" s="43" t="n">
        <v>0.09</v>
      </c>
      <c r="BE5" s="43" t="n">
        <v>0.09</v>
      </c>
      <c r="BF5" s="43" t="n">
        <v>0.09</v>
      </c>
      <c r="BG5" s="43" t="n">
        <v>0.09</v>
      </c>
      <c r="BH5" s="43" t="n">
        <v>0.09</v>
      </c>
      <c r="BI5" s="43" t="n">
        <v>0.09</v>
      </c>
      <c r="BJ5" s="43" t="n">
        <v>0.09</v>
      </c>
      <c r="BK5" s="43" t="n">
        <v>0.09</v>
      </c>
      <c r="BL5" s="43" t="n">
        <v>0.09</v>
      </c>
      <c r="BM5" s="43" t="n">
        <v>0.09</v>
      </c>
      <c r="BN5" s="43" t="n">
        <v>0.09</v>
      </c>
      <c r="BO5" s="43" t="n">
        <v>0.09</v>
      </c>
      <c r="BP5" s="43" t="n">
        <v>0.09</v>
      </c>
      <c r="BQ5" s="43" t="n">
        <v>0.09</v>
      </c>
      <c r="BR5" s="43" t="n">
        <v>0.09</v>
      </c>
      <c r="BS5" s="43" t="n">
        <v>0.09</v>
      </c>
      <c r="BT5" s="43" t="n">
        <v>0.09</v>
      </c>
      <c r="BU5" s="43" t="n">
        <v>0.09</v>
      </c>
      <c r="BV5" s="43" t="n">
        <v>0.09</v>
      </c>
      <c r="BW5" s="43" t="n">
        <v>0.09</v>
      </c>
      <c r="BX5" s="43" t="n">
        <v>0.09</v>
      </c>
      <c r="BY5" s="43" t="n">
        <v>0.09</v>
      </c>
      <c r="BZ5" s="43" t="n">
        <v>0.09</v>
      </c>
      <c r="CA5" s="43" t="n">
        <v>0.09</v>
      </c>
      <c r="CB5" s="43" t="n">
        <v>0.09</v>
      </c>
      <c r="CC5" s="43" t="n">
        <v>0.09</v>
      </c>
      <c r="CD5" s="43" t="n">
        <v>0.09</v>
      </c>
      <c r="CE5" s="43" t="n">
        <v>0.09</v>
      </c>
      <c r="CF5" s="43" t="n">
        <v>0.09</v>
      </c>
      <c r="CG5" s="43" t="n">
        <v>0.09</v>
      </c>
      <c r="CH5" s="43" t="n">
        <v>0.09</v>
      </c>
      <c r="CI5" s="43" t="n">
        <v>0.09</v>
      </c>
      <c r="CJ5" s="43" t="n">
        <v>0.09</v>
      </c>
      <c r="CK5" s="43" t="n">
        <v>0.09</v>
      </c>
      <c r="CL5" s="43" t="n">
        <v>0.09</v>
      </c>
      <c r="CM5" s="43" t="n">
        <v>0.09</v>
      </c>
      <c r="CN5" s="43" t="n">
        <v>0.09</v>
      </c>
      <c r="CO5" s="43" t="n">
        <v>0.09</v>
      </c>
      <c r="CP5" s="43" t="n">
        <v>0.09</v>
      </c>
      <c r="CQ5" s="43" t="n">
        <v>0.09</v>
      </c>
      <c r="CR5" s="43" t="n">
        <v>0.09</v>
      </c>
      <c r="CS5" s="43" t="n">
        <v>0.09</v>
      </c>
      <c r="CT5" s="43" t="n">
        <v>0.09</v>
      </c>
      <c r="CU5" s="43" t="n">
        <v>0.09</v>
      </c>
      <c r="CV5" s="43" t="n">
        <v>0.09</v>
      </c>
      <c r="CW5" s="43" t="n">
        <v>0.09</v>
      </c>
      <c r="CX5" s="43" t="n">
        <v>0.09</v>
      </c>
      <c r="CY5" s="43" t="n">
        <v>0.09</v>
      </c>
      <c r="CZ5" s="43" t="n">
        <v>0.09</v>
      </c>
      <c r="DA5" s="43" t="n">
        <v>0.09</v>
      </c>
      <c r="DB5" s="43" t="n">
        <v>0.09</v>
      </c>
      <c r="DC5" s="43" t="n">
        <v>0.09</v>
      </c>
      <c r="DD5" s="43" t="n">
        <v>0.09</v>
      </c>
      <c r="DE5" s="43" t="n">
        <v>0.09</v>
      </c>
      <c r="DF5" s="43" t="n">
        <v>0.09</v>
      </c>
      <c r="DG5" s="43" t="n">
        <v>0.09</v>
      </c>
      <c r="DH5" s="43" t="n">
        <v>0.09</v>
      </c>
      <c r="DI5" s="43" t="n">
        <v>0.09</v>
      </c>
      <c r="DJ5" s="43" t="n">
        <v>0.09</v>
      </c>
      <c r="DK5" s="43" t="n">
        <v>0.09</v>
      </c>
      <c r="DL5" s="43" t="n">
        <v>0.09</v>
      </c>
      <c r="DM5" s="43" t="n">
        <v>0.09</v>
      </c>
    </row>
    <row r="6">
      <c r="A6" s="42" t="inlineStr">
        <is>
          <t>Ставка кредита</t>
        </is>
      </c>
      <c r="B6" s="10" t="n"/>
      <c r="C6" s="37" t="inlineStr"/>
      <c r="D6" s="44">
        <f>'Ставки'!D5+'Вводные'!$B$56</f>
        <v/>
      </c>
      <c r="E6" s="44">
        <f>'Ставки'!E5+'Вводные'!$B$56</f>
        <v/>
      </c>
      <c r="F6" s="44">
        <f>'Ставки'!F5+'Вводные'!$B$56</f>
        <v/>
      </c>
      <c r="G6" s="44">
        <f>'Ставки'!G5+'Вводные'!$B$56</f>
        <v/>
      </c>
      <c r="H6" s="44">
        <f>'Ставки'!H5+'Вводные'!$B$56</f>
        <v/>
      </c>
      <c r="I6" s="44">
        <f>'Ставки'!I5+'Вводные'!$B$56</f>
        <v/>
      </c>
      <c r="J6" s="44">
        <f>'Ставки'!J5+'Вводные'!$B$56</f>
        <v/>
      </c>
      <c r="K6" s="44">
        <f>'Ставки'!K5+'Вводные'!$B$56</f>
        <v/>
      </c>
      <c r="L6" s="44">
        <f>'Ставки'!L5+'Вводные'!$B$56</f>
        <v/>
      </c>
      <c r="M6" s="44">
        <f>'Ставки'!M5+'Вводные'!$B$56</f>
        <v/>
      </c>
      <c r="N6" s="44">
        <f>'Ставки'!N5+'Вводные'!$B$56</f>
        <v/>
      </c>
      <c r="O6" s="44">
        <f>'Ставки'!O5+'Вводные'!$B$56</f>
        <v/>
      </c>
      <c r="P6" s="44">
        <f>'Ставки'!P5+'Вводные'!$B$56</f>
        <v/>
      </c>
      <c r="Q6" s="44">
        <f>'Ставки'!Q5+'Вводные'!$B$56</f>
        <v/>
      </c>
      <c r="R6" s="44">
        <f>'Ставки'!R5+'Вводные'!$B$56</f>
        <v/>
      </c>
      <c r="S6" s="44">
        <f>'Ставки'!S5+'Вводные'!$B$56</f>
        <v/>
      </c>
      <c r="T6" s="44">
        <f>'Ставки'!T5+'Вводные'!$B$56</f>
        <v/>
      </c>
      <c r="U6" s="44">
        <f>'Ставки'!U5+'Вводные'!$B$56</f>
        <v/>
      </c>
      <c r="V6" s="44">
        <f>'Ставки'!V5+'Вводные'!$B$56</f>
        <v/>
      </c>
      <c r="W6" s="44">
        <f>'Ставки'!W5+'Вводные'!$B$56</f>
        <v/>
      </c>
      <c r="X6" s="44">
        <f>'Ставки'!X5+'Вводные'!$B$56</f>
        <v/>
      </c>
      <c r="Y6" s="44">
        <f>'Ставки'!Y5+'Вводные'!$B$56</f>
        <v/>
      </c>
      <c r="Z6" s="44">
        <f>'Ставки'!Z5+'Вводные'!$B$56</f>
        <v/>
      </c>
      <c r="AA6" s="44">
        <f>'Ставки'!AA5+'Вводные'!$B$56</f>
        <v/>
      </c>
      <c r="AB6" s="44">
        <f>'Ставки'!AB5+'Вводные'!$B$56</f>
        <v/>
      </c>
      <c r="AC6" s="44">
        <f>'Ставки'!AC5+'Вводные'!$B$56</f>
        <v/>
      </c>
      <c r="AD6" s="44">
        <f>'Ставки'!AD5+'Вводные'!$B$56</f>
        <v/>
      </c>
      <c r="AE6" s="44">
        <f>'Ставки'!AE5+'Вводные'!$B$56</f>
        <v/>
      </c>
      <c r="AF6" s="44">
        <f>'Ставки'!AF5+'Вводные'!$B$56</f>
        <v/>
      </c>
      <c r="AG6" s="44">
        <f>'Ставки'!AG5+'Вводные'!$B$56</f>
        <v/>
      </c>
      <c r="AH6" s="44">
        <f>'Ставки'!AH5+'Вводные'!$B$56</f>
        <v/>
      </c>
      <c r="AI6" s="44">
        <f>'Ставки'!AI5+'Вводные'!$B$56</f>
        <v/>
      </c>
      <c r="AJ6" s="44">
        <f>'Ставки'!AJ5+'Вводные'!$B$56</f>
        <v/>
      </c>
      <c r="AK6" s="44">
        <f>'Ставки'!AK5+'Вводные'!$B$56</f>
        <v/>
      </c>
      <c r="AL6" s="44">
        <f>'Ставки'!AL5+'Вводные'!$B$56</f>
        <v/>
      </c>
      <c r="AM6" s="44">
        <f>'Ставки'!AM5+'Вводные'!$B$56</f>
        <v/>
      </c>
      <c r="AN6" s="44">
        <f>'Ставки'!AN5+'Вводные'!$B$56</f>
        <v/>
      </c>
      <c r="AO6" s="44">
        <f>'Ставки'!AO5+'Вводные'!$B$56</f>
        <v/>
      </c>
      <c r="AP6" s="44">
        <f>'Ставки'!AP5+'Вводные'!$B$56</f>
        <v/>
      </c>
      <c r="AQ6" s="44">
        <f>'Ставки'!AQ5+'Вводные'!$B$56</f>
        <v/>
      </c>
      <c r="AR6" s="44">
        <f>'Ставки'!AR5+'Вводные'!$B$56</f>
        <v/>
      </c>
      <c r="AS6" s="44">
        <f>'Ставки'!AS5+'Вводные'!$B$56</f>
        <v/>
      </c>
      <c r="AT6" s="44">
        <f>'Ставки'!AT5+'Вводные'!$B$56</f>
        <v/>
      </c>
      <c r="AU6" s="44">
        <f>'Ставки'!AU5+'Вводные'!$B$56</f>
        <v/>
      </c>
      <c r="AV6" s="44">
        <f>'Ставки'!AV5+'Вводные'!$B$56</f>
        <v/>
      </c>
      <c r="AW6" s="44">
        <f>'Ставки'!AW5+'Вводные'!$B$56</f>
        <v/>
      </c>
      <c r="AX6" s="44">
        <f>'Ставки'!AX5+'Вводные'!$B$56</f>
        <v/>
      </c>
      <c r="AY6" s="44">
        <f>'Ставки'!AY5+'Вводные'!$B$56</f>
        <v/>
      </c>
      <c r="AZ6" s="44">
        <f>'Ставки'!AZ5+'Вводные'!$B$56</f>
        <v/>
      </c>
      <c r="BA6" s="44">
        <f>'Ставки'!BA5+'Вводные'!$B$56</f>
        <v/>
      </c>
      <c r="BB6" s="44">
        <f>'Ставки'!BB5+'Вводные'!$B$56</f>
        <v/>
      </c>
      <c r="BC6" s="44">
        <f>'Ставки'!BC5+'Вводные'!$B$56</f>
        <v/>
      </c>
      <c r="BD6" s="44">
        <f>'Ставки'!BD5+'Вводные'!$B$56</f>
        <v/>
      </c>
      <c r="BE6" s="44">
        <f>'Ставки'!BE5+'Вводные'!$B$56</f>
        <v/>
      </c>
      <c r="BF6" s="44">
        <f>'Ставки'!BF5+'Вводные'!$B$56</f>
        <v/>
      </c>
      <c r="BG6" s="44">
        <f>'Ставки'!BG5+'Вводные'!$B$56</f>
        <v/>
      </c>
      <c r="BH6" s="44">
        <f>'Ставки'!BH5+'Вводные'!$B$56</f>
        <v/>
      </c>
      <c r="BI6" s="44">
        <f>'Ставки'!BI5+'Вводные'!$B$56</f>
        <v/>
      </c>
      <c r="BJ6" s="44">
        <f>'Ставки'!BJ5+'Вводные'!$B$56</f>
        <v/>
      </c>
      <c r="BK6" s="44">
        <f>'Ставки'!BK5+'Вводные'!$B$56</f>
        <v/>
      </c>
      <c r="BL6" s="44">
        <f>'Ставки'!BL5+'Вводные'!$B$56</f>
        <v/>
      </c>
      <c r="BM6" s="44">
        <f>'Ставки'!BM5+'Вводные'!$B$56</f>
        <v/>
      </c>
      <c r="BN6" s="44">
        <f>'Ставки'!BN5+'Вводные'!$B$56</f>
        <v/>
      </c>
      <c r="BO6" s="44">
        <f>'Ставки'!BO5+'Вводные'!$B$56</f>
        <v/>
      </c>
      <c r="BP6" s="44">
        <f>'Ставки'!BP5+'Вводные'!$B$56</f>
        <v/>
      </c>
      <c r="BQ6" s="44">
        <f>'Ставки'!BQ5+'Вводные'!$B$56</f>
        <v/>
      </c>
      <c r="BR6" s="44">
        <f>'Ставки'!BR5+'Вводные'!$B$56</f>
        <v/>
      </c>
      <c r="BS6" s="44">
        <f>'Ставки'!BS5+'Вводные'!$B$56</f>
        <v/>
      </c>
      <c r="BT6" s="44">
        <f>'Ставки'!BT5+'Вводные'!$B$56</f>
        <v/>
      </c>
      <c r="BU6" s="44">
        <f>'Ставки'!BU5+'Вводные'!$B$56</f>
        <v/>
      </c>
      <c r="BV6" s="44">
        <f>'Ставки'!BV5+'Вводные'!$B$56</f>
        <v/>
      </c>
      <c r="BW6" s="44">
        <f>'Ставки'!BW5+'Вводные'!$B$56</f>
        <v/>
      </c>
      <c r="BX6" s="44">
        <f>'Ставки'!BX5+'Вводные'!$B$56</f>
        <v/>
      </c>
      <c r="BY6" s="44">
        <f>'Ставки'!BY5+'Вводные'!$B$56</f>
        <v/>
      </c>
      <c r="BZ6" s="44">
        <f>'Ставки'!BZ5+'Вводные'!$B$56</f>
        <v/>
      </c>
      <c r="CA6" s="44">
        <f>'Ставки'!CA5+'Вводные'!$B$56</f>
        <v/>
      </c>
      <c r="CB6" s="44">
        <f>'Ставки'!CB5+'Вводные'!$B$56</f>
        <v/>
      </c>
      <c r="CC6" s="44">
        <f>'Ставки'!CC5+'Вводные'!$B$56</f>
        <v/>
      </c>
      <c r="CD6" s="44">
        <f>'Ставки'!CD5+'Вводные'!$B$56</f>
        <v/>
      </c>
      <c r="CE6" s="44">
        <f>'Ставки'!CE5+'Вводные'!$B$56</f>
        <v/>
      </c>
      <c r="CF6" s="44">
        <f>'Ставки'!CF5+'Вводные'!$B$56</f>
        <v/>
      </c>
      <c r="CG6" s="44">
        <f>'Ставки'!CG5+'Вводные'!$B$56</f>
        <v/>
      </c>
      <c r="CH6" s="44">
        <f>'Ставки'!CH5+'Вводные'!$B$56</f>
        <v/>
      </c>
      <c r="CI6" s="44">
        <f>'Ставки'!CI5+'Вводные'!$B$56</f>
        <v/>
      </c>
      <c r="CJ6" s="44">
        <f>'Ставки'!CJ5+'Вводные'!$B$56</f>
        <v/>
      </c>
      <c r="CK6" s="44">
        <f>'Ставки'!CK5+'Вводные'!$B$56</f>
        <v/>
      </c>
      <c r="CL6" s="44">
        <f>'Ставки'!CL5+'Вводные'!$B$56</f>
        <v/>
      </c>
      <c r="CM6" s="44">
        <f>'Ставки'!CM5+'Вводные'!$B$56</f>
        <v/>
      </c>
      <c r="CN6" s="44">
        <f>'Ставки'!CN5+'Вводные'!$B$56</f>
        <v/>
      </c>
      <c r="CO6" s="44">
        <f>'Ставки'!CO5+'Вводные'!$B$56</f>
        <v/>
      </c>
      <c r="CP6" s="44">
        <f>'Ставки'!CP5+'Вводные'!$B$56</f>
        <v/>
      </c>
      <c r="CQ6" s="44">
        <f>'Ставки'!CQ5+'Вводные'!$B$56</f>
        <v/>
      </c>
      <c r="CR6" s="44">
        <f>'Ставки'!CR5+'Вводные'!$B$56</f>
        <v/>
      </c>
      <c r="CS6" s="44">
        <f>'Ставки'!CS5+'Вводные'!$B$56</f>
        <v/>
      </c>
      <c r="CT6" s="44">
        <f>'Ставки'!CT5+'Вводные'!$B$56</f>
        <v/>
      </c>
      <c r="CU6" s="44">
        <f>'Ставки'!CU5+'Вводные'!$B$56</f>
        <v/>
      </c>
      <c r="CV6" s="44">
        <f>'Ставки'!CV5+'Вводные'!$B$56</f>
        <v/>
      </c>
      <c r="CW6" s="44">
        <f>'Ставки'!CW5+'Вводные'!$B$56</f>
        <v/>
      </c>
      <c r="CX6" s="44">
        <f>'Ставки'!CX5+'Вводные'!$B$56</f>
        <v/>
      </c>
      <c r="CY6" s="44">
        <f>'Ставки'!CY5+'Вводные'!$B$56</f>
        <v/>
      </c>
      <c r="CZ6" s="44">
        <f>'Ставки'!CZ5+'Вводные'!$B$56</f>
        <v/>
      </c>
      <c r="DA6" s="44">
        <f>'Ставки'!DA5+'Вводные'!$B$56</f>
        <v/>
      </c>
      <c r="DB6" s="44">
        <f>'Ставки'!DB5+'Вводные'!$B$56</f>
        <v/>
      </c>
      <c r="DC6" s="44">
        <f>'Ставки'!DC5+'Вводные'!$B$56</f>
        <v/>
      </c>
      <c r="DD6" s="44">
        <f>'Ставки'!DD5+'Вводные'!$B$56</f>
        <v/>
      </c>
      <c r="DE6" s="44">
        <f>'Ставки'!DE5+'Вводные'!$B$56</f>
        <v/>
      </c>
      <c r="DF6" s="44">
        <f>'Ставки'!DF5+'Вводные'!$B$56</f>
        <v/>
      </c>
      <c r="DG6" s="44">
        <f>'Ставки'!DG5+'Вводные'!$B$56</f>
        <v/>
      </c>
      <c r="DH6" s="44">
        <f>'Ставки'!DH5+'Вводные'!$B$56</f>
        <v/>
      </c>
      <c r="DI6" s="44">
        <f>'Ставки'!DI5+'Вводные'!$B$56</f>
        <v/>
      </c>
      <c r="DJ6" s="44">
        <f>'Ставки'!DJ5+'Вводные'!$B$56</f>
        <v/>
      </c>
      <c r="DK6" s="44">
        <f>'Ставки'!DK5+'Вводные'!$B$56</f>
        <v/>
      </c>
      <c r="DL6" s="44">
        <f>'Ставки'!DL5+'Вводные'!$B$56</f>
        <v/>
      </c>
      <c r="DM6" s="44">
        <f>'Ставки'!DM5+'Вводные'!$B$56</f>
        <v/>
      </c>
    </row>
  </sheetData>
  <pageMargins left="0.75" right="0.75" top="1" bottom="1" header="0.5" footer="0.5"/>
  <pageSetup orientation="landscape" scale="52" fitToHeight="0" fitToWidth="1"/>
  <colBreaks count="9" manualBreakCount="9">
    <brk id="15" min="0" max="16383" man="1"/>
    <brk id="27" min="0" max="16383" man="1"/>
    <brk id="39" min="0" max="16383" man="1"/>
    <brk id="51" min="0" max="16383" man="1"/>
    <brk id="63" min="0" max="16383" man="1"/>
    <brk id="75" min="0" max="16383" man="1"/>
    <brk id="87" min="0" max="16383" man="1"/>
    <brk id="99" min="0" max="16383" man="1"/>
    <brk id="111" min="0" max="16383" man="1"/>
  </colBreaks>
</worksheet>
</file>

<file path=xl/worksheets/sheet8.xml><?xml version="1.0" encoding="utf-8"?>
<worksheet xmlns="http://schemas.openxmlformats.org/spreadsheetml/2006/main">
  <sheetPr>
    <tabColor rgb="002F6DB5"/>
    <outlinePr summaryBelow="1" summaryRight="1"/>
    <pageSetUpPr fitToPage="0"/>
  </sheetPr>
  <dimension ref="A1:DN1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</cols>
  <sheetData>
    <row r="1">
      <c r="A1" s="1" t="inlineStr">
        <is>
          <t>ПУТЬ 1 · ПРОДАЖА БЛОКАМИ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</row>
    <row r="2">
      <c r="A2" s="3" t="inlineStr">
        <is>
          <t>Договоры купли-продажи после ввода, без ДДУ и эскроу. млн ₽ с НДС.</t>
        </is>
      </c>
    </row>
    <row r="3">
      <c r="A3" s="9" t="inlineStr">
        <is>
          <t>Показатель</t>
        </is>
      </c>
      <c r="B3" s="9" t="inlineStr">
        <is>
          <t>Итого / вводная</t>
        </is>
      </c>
      <c r="C3" s="9" t="inlineStr">
        <is>
          <t>Ед.</t>
        </is>
      </c>
      <c r="D3" s="34">
        <f>СРОКИ!D3</f>
        <v/>
      </c>
      <c r="E3" s="34">
        <f>СРОКИ!E3</f>
        <v/>
      </c>
      <c r="F3" s="34">
        <f>СРОКИ!F3</f>
        <v/>
      </c>
      <c r="G3" s="34">
        <f>СРОКИ!G3</f>
        <v/>
      </c>
      <c r="H3" s="34">
        <f>СРОКИ!H3</f>
        <v/>
      </c>
      <c r="I3" s="34">
        <f>СРОКИ!I3</f>
        <v/>
      </c>
      <c r="J3" s="34">
        <f>СРОКИ!J3</f>
        <v/>
      </c>
      <c r="K3" s="34">
        <f>СРОКИ!K3</f>
        <v/>
      </c>
      <c r="L3" s="34">
        <f>СРОКИ!L3</f>
        <v/>
      </c>
      <c r="M3" s="34">
        <f>СРОКИ!M3</f>
        <v/>
      </c>
      <c r="N3" s="34">
        <f>СРОКИ!N3</f>
        <v/>
      </c>
      <c r="O3" s="34">
        <f>СРОКИ!O3</f>
        <v/>
      </c>
      <c r="P3" s="34">
        <f>СРОКИ!P3</f>
        <v/>
      </c>
      <c r="Q3" s="34">
        <f>СРОКИ!Q3</f>
        <v/>
      </c>
      <c r="R3" s="34">
        <f>СРОКИ!R3</f>
        <v/>
      </c>
      <c r="S3" s="34">
        <f>СРОКИ!S3</f>
        <v/>
      </c>
      <c r="T3" s="34">
        <f>СРОКИ!T3</f>
        <v/>
      </c>
      <c r="U3" s="34">
        <f>СРОКИ!U3</f>
        <v/>
      </c>
      <c r="V3" s="34">
        <f>СРОКИ!V3</f>
        <v/>
      </c>
      <c r="W3" s="34">
        <f>СРОКИ!W3</f>
        <v/>
      </c>
      <c r="X3" s="34">
        <f>СРОКИ!X3</f>
        <v/>
      </c>
      <c r="Y3" s="34">
        <f>СРОКИ!Y3</f>
        <v/>
      </c>
      <c r="Z3" s="34">
        <f>СРОКИ!Z3</f>
        <v/>
      </c>
      <c r="AA3" s="34">
        <f>СРОКИ!AA3</f>
        <v/>
      </c>
      <c r="AB3" s="34">
        <f>СРОКИ!AB3</f>
        <v/>
      </c>
      <c r="AC3" s="34">
        <f>СРОКИ!AC3</f>
        <v/>
      </c>
      <c r="AD3" s="34">
        <f>СРОКИ!AD3</f>
        <v/>
      </c>
      <c r="AE3" s="34">
        <f>СРОКИ!AE3</f>
        <v/>
      </c>
      <c r="AF3" s="34">
        <f>СРОКИ!AF3</f>
        <v/>
      </c>
      <c r="AG3" s="34">
        <f>СРОКИ!AG3</f>
        <v/>
      </c>
      <c r="AH3" s="34">
        <f>СРОКИ!AH3</f>
        <v/>
      </c>
      <c r="AI3" s="34">
        <f>СРОКИ!AI3</f>
        <v/>
      </c>
      <c r="AJ3" s="34">
        <f>СРОКИ!AJ3</f>
        <v/>
      </c>
      <c r="AK3" s="34">
        <f>СРОКИ!AK3</f>
        <v/>
      </c>
      <c r="AL3" s="34">
        <f>СРОКИ!AL3</f>
        <v/>
      </c>
      <c r="AM3" s="34">
        <f>СРОКИ!AM3</f>
        <v/>
      </c>
      <c r="AN3" s="34">
        <f>СРОКИ!AN3</f>
        <v/>
      </c>
      <c r="AO3" s="34">
        <f>СРОКИ!AO3</f>
        <v/>
      </c>
      <c r="AP3" s="34">
        <f>СРОКИ!AP3</f>
        <v/>
      </c>
      <c r="AQ3" s="34">
        <f>СРОКИ!AQ3</f>
        <v/>
      </c>
      <c r="AR3" s="34">
        <f>СРОКИ!AR3</f>
        <v/>
      </c>
      <c r="AS3" s="34">
        <f>СРОКИ!AS3</f>
        <v/>
      </c>
      <c r="AT3" s="34">
        <f>СРОКИ!AT3</f>
        <v/>
      </c>
      <c r="AU3" s="34">
        <f>СРОКИ!AU3</f>
        <v/>
      </c>
      <c r="AV3" s="34">
        <f>СРОКИ!AV3</f>
        <v/>
      </c>
      <c r="AW3" s="34">
        <f>СРОКИ!AW3</f>
        <v/>
      </c>
      <c r="AX3" s="34">
        <f>СРОКИ!AX3</f>
        <v/>
      </c>
      <c r="AY3" s="34">
        <f>СРОКИ!AY3</f>
        <v/>
      </c>
      <c r="AZ3" s="34">
        <f>СРОКИ!AZ3</f>
        <v/>
      </c>
      <c r="BA3" s="34">
        <f>СРОКИ!BA3</f>
        <v/>
      </c>
      <c r="BB3" s="34">
        <f>СРОКИ!BB3</f>
        <v/>
      </c>
      <c r="BC3" s="34">
        <f>СРОКИ!BC3</f>
        <v/>
      </c>
      <c r="BD3" s="34">
        <f>СРОКИ!BD3</f>
        <v/>
      </c>
      <c r="BE3" s="34">
        <f>СРОКИ!BE3</f>
        <v/>
      </c>
      <c r="BF3" s="34">
        <f>СРОКИ!BF3</f>
        <v/>
      </c>
      <c r="BG3" s="34">
        <f>СРОКИ!BG3</f>
        <v/>
      </c>
      <c r="BH3" s="34">
        <f>СРОКИ!BH3</f>
        <v/>
      </c>
      <c r="BI3" s="34">
        <f>СРОКИ!BI3</f>
        <v/>
      </c>
      <c r="BJ3" s="34">
        <f>СРОКИ!BJ3</f>
        <v/>
      </c>
      <c r="BK3" s="34">
        <f>СРОКИ!BK3</f>
        <v/>
      </c>
      <c r="BL3" s="34">
        <f>СРОКИ!BL3</f>
        <v/>
      </c>
      <c r="BM3" s="34">
        <f>СРОКИ!BM3</f>
        <v/>
      </c>
      <c r="BN3" s="34">
        <f>СРОКИ!BN3</f>
        <v/>
      </c>
      <c r="BO3" s="34">
        <f>СРОКИ!BO3</f>
        <v/>
      </c>
      <c r="BP3" s="34">
        <f>СРОКИ!BP3</f>
        <v/>
      </c>
      <c r="BQ3" s="34">
        <f>СРОКИ!BQ3</f>
        <v/>
      </c>
      <c r="BR3" s="34">
        <f>СРОКИ!BR3</f>
        <v/>
      </c>
      <c r="BS3" s="34">
        <f>СРОКИ!BS3</f>
        <v/>
      </c>
      <c r="BT3" s="34">
        <f>СРОКИ!BT3</f>
        <v/>
      </c>
      <c r="BU3" s="34">
        <f>СРОКИ!BU3</f>
        <v/>
      </c>
      <c r="BV3" s="34">
        <f>СРОКИ!BV3</f>
        <v/>
      </c>
      <c r="BW3" s="34">
        <f>СРОКИ!BW3</f>
        <v/>
      </c>
      <c r="BX3" s="34">
        <f>СРОКИ!BX3</f>
        <v/>
      </c>
      <c r="BY3" s="34">
        <f>СРОКИ!BY3</f>
        <v/>
      </c>
      <c r="BZ3" s="34">
        <f>СРОКИ!BZ3</f>
        <v/>
      </c>
      <c r="CA3" s="34">
        <f>СРОКИ!CA3</f>
        <v/>
      </c>
      <c r="CB3" s="34">
        <f>СРОКИ!CB3</f>
        <v/>
      </c>
      <c r="CC3" s="34">
        <f>СРОКИ!CC3</f>
        <v/>
      </c>
      <c r="CD3" s="34">
        <f>СРОКИ!CD3</f>
        <v/>
      </c>
      <c r="CE3" s="34">
        <f>СРОКИ!CE3</f>
        <v/>
      </c>
      <c r="CF3" s="34">
        <f>СРОКИ!CF3</f>
        <v/>
      </c>
      <c r="CG3" s="34">
        <f>СРОКИ!CG3</f>
        <v/>
      </c>
      <c r="CH3" s="34">
        <f>СРОКИ!CH3</f>
        <v/>
      </c>
      <c r="CI3" s="34">
        <f>СРОКИ!CI3</f>
        <v/>
      </c>
      <c r="CJ3" s="34">
        <f>СРОКИ!CJ3</f>
        <v/>
      </c>
      <c r="CK3" s="34">
        <f>СРОКИ!CK3</f>
        <v/>
      </c>
      <c r="CL3" s="34">
        <f>СРОКИ!CL3</f>
        <v/>
      </c>
      <c r="CM3" s="34">
        <f>СРОКИ!CM3</f>
        <v/>
      </c>
      <c r="CN3" s="34">
        <f>СРОКИ!CN3</f>
        <v/>
      </c>
      <c r="CO3" s="34">
        <f>СРОКИ!CO3</f>
        <v/>
      </c>
      <c r="CP3" s="34">
        <f>СРОКИ!CP3</f>
        <v/>
      </c>
      <c r="CQ3" s="34">
        <f>СРОКИ!CQ3</f>
        <v/>
      </c>
      <c r="CR3" s="34">
        <f>СРОКИ!CR3</f>
        <v/>
      </c>
      <c r="CS3" s="34">
        <f>СРОКИ!CS3</f>
        <v/>
      </c>
      <c r="CT3" s="34">
        <f>СРОКИ!CT3</f>
        <v/>
      </c>
      <c r="CU3" s="34">
        <f>СРОКИ!CU3</f>
        <v/>
      </c>
      <c r="CV3" s="34">
        <f>СРОКИ!CV3</f>
        <v/>
      </c>
      <c r="CW3" s="34">
        <f>СРОКИ!CW3</f>
        <v/>
      </c>
      <c r="CX3" s="34">
        <f>СРОКИ!CX3</f>
        <v/>
      </c>
      <c r="CY3" s="34">
        <f>СРОКИ!CY3</f>
        <v/>
      </c>
      <c r="CZ3" s="34">
        <f>СРОКИ!CZ3</f>
        <v/>
      </c>
      <c r="DA3" s="34">
        <f>СРОКИ!DA3</f>
        <v/>
      </c>
      <c r="DB3" s="34">
        <f>СРОКИ!DB3</f>
        <v/>
      </c>
      <c r="DC3" s="34">
        <f>СРОКИ!DC3</f>
        <v/>
      </c>
      <c r="DD3" s="34">
        <f>СРОКИ!DD3</f>
        <v/>
      </c>
      <c r="DE3" s="34">
        <f>СРОКИ!DE3</f>
        <v/>
      </c>
      <c r="DF3" s="34">
        <f>СРОКИ!DF3</f>
        <v/>
      </c>
      <c r="DG3" s="34">
        <f>СРОКИ!DG3</f>
        <v/>
      </c>
      <c r="DH3" s="34">
        <f>СРОКИ!DH3</f>
        <v/>
      </c>
      <c r="DI3" s="34">
        <f>СРОКИ!DI3</f>
        <v/>
      </c>
      <c r="DJ3" s="34">
        <f>СРОКИ!DJ3</f>
        <v/>
      </c>
      <c r="DK3" s="34">
        <f>СРОКИ!DK3</f>
        <v/>
      </c>
      <c r="DL3" s="34">
        <f>СРОКИ!DL3</f>
        <v/>
      </c>
      <c r="DM3" s="34">
        <f>СРОКИ!DM3</f>
        <v/>
      </c>
    </row>
    <row r="4">
      <c r="A4" t="inlineStr">
        <is>
          <t>Период</t>
        </is>
      </c>
      <c r="C4" t="inlineStr">
        <is>
          <t>№</t>
        </is>
      </c>
      <c r="D4" s="35" t="n">
        <v>0</v>
      </c>
      <c r="E4" s="35" t="n">
        <v>1</v>
      </c>
      <c r="F4" s="35" t="n">
        <v>2</v>
      </c>
      <c r="G4" s="35" t="n">
        <v>3</v>
      </c>
      <c r="H4" s="35" t="n">
        <v>4</v>
      </c>
      <c r="I4" s="35" t="n">
        <v>5</v>
      </c>
      <c r="J4" s="35" t="n">
        <v>6</v>
      </c>
      <c r="K4" s="35" t="n">
        <v>7</v>
      </c>
      <c r="L4" s="35" t="n">
        <v>8</v>
      </c>
      <c r="M4" s="35" t="n">
        <v>9</v>
      </c>
      <c r="N4" s="35" t="n">
        <v>10</v>
      </c>
      <c r="O4" s="35" t="n">
        <v>11</v>
      </c>
      <c r="P4" s="35" t="n">
        <v>12</v>
      </c>
      <c r="Q4" s="35" t="n">
        <v>13</v>
      </c>
      <c r="R4" s="35" t="n">
        <v>14</v>
      </c>
      <c r="S4" s="35" t="n">
        <v>15</v>
      </c>
      <c r="T4" s="35" t="n">
        <v>16</v>
      </c>
      <c r="U4" s="35" t="n">
        <v>17</v>
      </c>
      <c r="V4" s="35" t="n">
        <v>18</v>
      </c>
      <c r="W4" s="35" t="n">
        <v>19</v>
      </c>
      <c r="X4" s="35" t="n">
        <v>20</v>
      </c>
      <c r="Y4" s="35" t="n">
        <v>21</v>
      </c>
      <c r="Z4" s="35" t="n">
        <v>22</v>
      </c>
      <c r="AA4" s="35" t="n">
        <v>23</v>
      </c>
      <c r="AB4" s="35" t="n">
        <v>24</v>
      </c>
      <c r="AC4" s="35" t="n">
        <v>25</v>
      </c>
      <c r="AD4" s="35" t="n">
        <v>26</v>
      </c>
      <c r="AE4" s="35" t="n">
        <v>27</v>
      </c>
      <c r="AF4" s="35" t="n">
        <v>28</v>
      </c>
      <c r="AG4" s="35" t="n">
        <v>29</v>
      </c>
      <c r="AH4" s="35" t="n">
        <v>30</v>
      </c>
      <c r="AI4" s="35" t="n">
        <v>31</v>
      </c>
      <c r="AJ4" s="35" t="n">
        <v>32</v>
      </c>
      <c r="AK4" s="35" t="n">
        <v>33</v>
      </c>
      <c r="AL4" s="35" t="n">
        <v>34</v>
      </c>
      <c r="AM4" s="35" t="n">
        <v>35</v>
      </c>
      <c r="AN4" s="35" t="n">
        <v>36</v>
      </c>
      <c r="AO4" s="35" t="n">
        <v>37</v>
      </c>
      <c r="AP4" s="35" t="n">
        <v>38</v>
      </c>
      <c r="AQ4" s="35" t="n">
        <v>39</v>
      </c>
      <c r="AR4" s="35" t="n">
        <v>40</v>
      </c>
      <c r="AS4" s="35" t="n">
        <v>41</v>
      </c>
      <c r="AT4" s="35" t="n">
        <v>42</v>
      </c>
      <c r="AU4" s="35" t="n">
        <v>43</v>
      </c>
      <c r="AV4" s="35" t="n">
        <v>44</v>
      </c>
      <c r="AW4" s="35" t="n">
        <v>45</v>
      </c>
      <c r="AX4" s="35" t="n">
        <v>46</v>
      </c>
      <c r="AY4" s="35" t="n">
        <v>47</v>
      </c>
      <c r="AZ4" s="35" t="n">
        <v>48</v>
      </c>
      <c r="BA4" s="35" t="n">
        <v>49</v>
      </c>
      <c r="BB4" s="35" t="n">
        <v>50</v>
      </c>
      <c r="BC4" s="35" t="n">
        <v>51</v>
      </c>
      <c r="BD4" s="35" t="n">
        <v>52</v>
      </c>
      <c r="BE4" s="35" t="n">
        <v>53</v>
      </c>
      <c r="BF4" s="35" t="n">
        <v>54</v>
      </c>
      <c r="BG4" s="35" t="n">
        <v>55</v>
      </c>
      <c r="BH4" s="35" t="n">
        <v>56</v>
      </c>
      <c r="BI4" s="35" t="n">
        <v>57</v>
      </c>
      <c r="BJ4" s="35" t="n">
        <v>58</v>
      </c>
      <c r="BK4" s="35" t="n">
        <v>59</v>
      </c>
      <c r="BL4" s="35" t="n">
        <v>60</v>
      </c>
      <c r="BM4" s="35" t="n">
        <v>61</v>
      </c>
      <c r="BN4" s="35" t="n">
        <v>62</v>
      </c>
      <c r="BO4" s="35" t="n">
        <v>63</v>
      </c>
      <c r="BP4" s="35" t="n">
        <v>64</v>
      </c>
      <c r="BQ4" s="35" t="n">
        <v>65</v>
      </c>
      <c r="BR4" s="35" t="n">
        <v>66</v>
      </c>
      <c r="BS4" s="35" t="n">
        <v>67</v>
      </c>
      <c r="BT4" s="35" t="n">
        <v>68</v>
      </c>
      <c r="BU4" s="35" t="n">
        <v>69</v>
      </c>
      <c r="BV4" s="35" t="n">
        <v>70</v>
      </c>
      <c r="BW4" s="35" t="n">
        <v>71</v>
      </c>
      <c r="BX4" s="35" t="n">
        <v>72</v>
      </c>
      <c r="BY4" s="35" t="n">
        <v>73</v>
      </c>
      <c r="BZ4" s="35" t="n">
        <v>74</v>
      </c>
      <c r="CA4" s="35" t="n">
        <v>75</v>
      </c>
      <c r="CB4" s="35" t="n">
        <v>76</v>
      </c>
      <c r="CC4" s="35" t="n">
        <v>77</v>
      </c>
      <c r="CD4" s="35" t="n">
        <v>78</v>
      </c>
      <c r="CE4" s="35" t="n">
        <v>79</v>
      </c>
      <c r="CF4" s="35" t="n">
        <v>80</v>
      </c>
      <c r="CG4" s="35" t="n">
        <v>81</v>
      </c>
      <c r="CH4" s="35" t="n">
        <v>82</v>
      </c>
      <c r="CI4" s="35" t="n">
        <v>83</v>
      </c>
      <c r="CJ4" s="35" t="n">
        <v>84</v>
      </c>
      <c r="CK4" s="35" t="n">
        <v>85</v>
      </c>
      <c r="CL4" s="35" t="n">
        <v>86</v>
      </c>
      <c r="CM4" s="35" t="n">
        <v>87</v>
      </c>
      <c r="CN4" s="35" t="n">
        <v>88</v>
      </c>
      <c r="CO4" s="35" t="n">
        <v>89</v>
      </c>
      <c r="CP4" s="35" t="n">
        <v>90</v>
      </c>
      <c r="CQ4" s="35" t="n">
        <v>91</v>
      </c>
      <c r="CR4" s="35" t="n">
        <v>92</v>
      </c>
      <c r="CS4" s="35" t="n">
        <v>93</v>
      </c>
      <c r="CT4" s="35" t="n">
        <v>94</v>
      </c>
      <c r="CU4" s="35" t="n">
        <v>95</v>
      </c>
      <c r="CV4" s="35" t="n">
        <v>96</v>
      </c>
      <c r="CW4" s="35" t="n">
        <v>97</v>
      </c>
      <c r="CX4" s="35" t="n">
        <v>98</v>
      </c>
      <c r="CY4" s="35" t="n">
        <v>99</v>
      </c>
      <c r="CZ4" s="35" t="n">
        <v>100</v>
      </c>
      <c r="DA4" s="35" t="n">
        <v>101</v>
      </c>
      <c r="DB4" s="35" t="n">
        <v>102</v>
      </c>
      <c r="DC4" s="35" t="n">
        <v>103</v>
      </c>
      <c r="DD4" s="35" t="n">
        <v>104</v>
      </c>
      <c r="DE4" s="35" t="n">
        <v>105</v>
      </c>
      <c r="DF4" s="35" t="n">
        <v>106</v>
      </c>
      <c r="DG4" s="35" t="n">
        <v>107</v>
      </c>
      <c r="DH4" s="35" t="n">
        <v>108</v>
      </c>
      <c r="DI4" s="35" t="n">
        <v>109</v>
      </c>
      <c r="DJ4" s="35" t="n">
        <v>110</v>
      </c>
      <c r="DK4" s="35" t="n">
        <v>111</v>
      </c>
      <c r="DL4" s="35" t="n">
        <v>112</v>
      </c>
      <c r="DM4" s="35" t="n">
        <v>113</v>
      </c>
    </row>
    <row r="5">
      <c r="A5" t="inlineStr">
        <is>
          <t>Отсчёт цены, № месяца (старт продаж ДДУ по вводным)</t>
        </is>
      </c>
      <c r="B5" s="22" t="n">
        <v>18</v>
      </c>
      <c r="C5" s="3" t="inlineStr">
        <is>
          <t>№</t>
        </is>
      </c>
    </row>
    <row r="6">
      <c r="A6" s="36" t="inlineStr">
        <is>
          <t>Индекс цены</t>
        </is>
      </c>
      <c r="B6" s="10" t="n"/>
      <c r="C6" s="37" t="inlineStr">
        <is>
          <t>×</t>
        </is>
      </c>
      <c r="D6" s="45">
        <f>(1+'Вводные'!$B$40)^MAX(0,MIN('СРОКИ'!D10-'Продажа'!$B$5,'СРОКИ'!$B$6-'Продажа'!$B$5))*(1+'Вводные'!$B$41)^MAX(0,'СРОКИ'!D10-MAX('Продажа'!$B$5,'СРОКИ'!$B$6))</f>
        <v/>
      </c>
      <c r="E6" s="45">
        <f>(1+'Вводные'!$B$40)^MAX(0,MIN('СРОКИ'!E10-'Продажа'!$B$5,'СРОКИ'!$B$6-'Продажа'!$B$5))*(1+'Вводные'!$B$41)^MAX(0,'СРОКИ'!E10-MAX('Продажа'!$B$5,'СРОКИ'!$B$6))</f>
        <v/>
      </c>
      <c r="F6" s="45">
        <f>(1+'Вводные'!$B$40)^MAX(0,MIN('СРОКИ'!F10-'Продажа'!$B$5,'СРОКИ'!$B$6-'Продажа'!$B$5))*(1+'Вводные'!$B$41)^MAX(0,'СРОКИ'!F10-MAX('Продажа'!$B$5,'СРОКИ'!$B$6))</f>
        <v/>
      </c>
      <c r="G6" s="45">
        <f>(1+'Вводные'!$B$40)^MAX(0,MIN('СРОКИ'!G10-'Продажа'!$B$5,'СРОКИ'!$B$6-'Продажа'!$B$5))*(1+'Вводные'!$B$41)^MAX(0,'СРОКИ'!G10-MAX('Продажа'!$B$5,'СРОКИ'!$B$6))</f>
        <v/>
      </c>
      <c r="H6" s="45">
        <f>(1+'Вводные'!$B$40)^MAX(0,MIN('СРОКИ'!H10-'Продажа'!$B$5,'СРОКИ'!$B$6-'Продажа'!$B$5))*(1+'Вводные'!$B$41)^MAX(0,'СРОКИ'!H10-MAX('Продажа'!$B$5,'СРОКИ'!$B$6))</f>
        <v/>
      </c>
      <c r="I6" s="45">
        <f>(1+'Вводные'!$B$40)^MAX(0,MIN('СРОКИ'!I10-'Продажа'!$B$5,'СРОКИ'!$B$6-'Продажа'!$B$5))*(1+'Вводные'!$B$41)^MAX(0,'СРОКИ'!I10-MAX('Продажа'!$B$5,'СРОКИ'!$B$6))</f>
        <v/>
      </c>
      <c r="J6" s="45">
        <f>(1+'Вводные'!$B$40)^MAX(0,MIN('СРОКИ'!J10-'Продажа'!$B$5,'СРОКИ'!$B$6-'Продажа'!$B$5))*(1+'Вводные'!$B$41)^MAX(0,'СРОКИ'!J10-MAX('Продажа'!$B$5,'СРОКИ'!$B$6))</f>
        <v/>
      </c>
      <c r="K6" s="45">
        <f>(1+'Вводные'!$B$40)^MAX(0,MIN('СРОКИ'!K10-'Продажа'!$B$5,'СРОКИ'!$B$6-'Продажа'!$B$5))*(1+'Вводные'!$B$41)^MAX(0,'СРОКИ'!K10-MAX('Продажа'!$B$5,'СРОКИ'!$B$6))</f>
        <v/>
      </c>
      <c r="L6" s="45">
        <f>(1+'Вводные'!$B$40)^MAX(0,MIN('СРОКИ'!L10-'Продажа'!$B$5,'СРОКИ'!$B$6-'Продажа'!$B$5))*(1+'Вводные'!$B$41)^MAX(0,'СРОКИ'!L10-MAX('Продажа'!$B$5,'СРОКИ'!$B$6))</f>
        <v/>
      </c>
      <c r="M6" s="45">
        <f>(1+'Вводные'!$B$40)^MAX(0,MIN('СРОКИ'!M10-'Продажа'!$B$5,'СРОКИ'!$B$6-'Продажа'!$B$5))*(1+'Вводные'!$B$41)^MAX(0,'СРОКИ'!M10-MAX('Продажа'!$B$5,'СРОКИ'!$B$6))</f>
        <v/>
      </c>
      <c r="N6" s="45">
        <f>(1+'Вводные'!$B$40)^MAX(0,MIN('СРОКИ'!N10-'Продажа'!$B$5,'СРОКИ'!$B$6-'Продажа'!$B$5))*(1+'Вводные'!$B$41)^MAX(0,'СРОКИ'!N10-MAX('Продажа'!$B$5,'СРОКИ'!$B$6))</f>
        <v/>
      </c>
      <c r="O6" s="45">
        <f>(1+'Вводные'!$B$40)^MAX(0,MIN('СРОКИ'!O10-'Продажа'!$B$5,'СРОКИ'!$B$6-'Продажа'!$B$5))*(1+'Вводные'!$B$41)^MAX(0,'СРОКИ'!O10-MAX('Продажа'!$B$5,'СРОКИ'!$B$6))</f>
        <v/>
      </c>
      <c r="P6" s="45">
        <f>(1+'Вводные'!$B$40)^MAX(0,MIN('СРОКИ'!P10-'Продажа'!$B$5,'СРОКИ'!$B$6-'Продажа'!$B$5))*(1+'Вводные'!$B$41)^MAX(0,'СРОКИ'!P10-MAX('Продажа'!$B$5,'СРОКИ'!$B$6))</f>
        <v/>
      </c>
      <c r="Q6" s="45">
        <f>(1+'Вводные'!$B$40)^MAX(0,MIN('СРОКИ'!Q10-'Продажа'!$B$5,'СРОКИ'!$B$6-'Продажа'!$B$5))*(1+'Вводные'!$B$41)^MAX(0,'СРОКИ'!Q10-MAX('Продажа'!$B$5,'СРОКИ'!$B$6))</f>
        <v/>
      </c>
      <c r="R6" s="45">
        <f>(1+'Вводные'!$B$40)^MAX(0,MIN('СРОКИ'!R10-'Продажа'!$B$5,'СРОКИ'!$B$6-'Продажа'!$B$5))*(1+'Вводные'!$B$41)^MAX(0,'СРОКИ'!R10-MAX('Продажа'!$B$5,'СРОКИ'!$B$6))</f>
        <v/>
      </c>
      <c r="S6" s="45">
        <f>(1+'Вводные'!$B$40)^MAX(0,MIN('СРОКИ'!S10-'Продажа'!$B$5,'СРОКИ'!$B$6-'Продажа'!$B$5))*(1+'Вводные'!$B$41)^MAX(0,'СРОКИ'!S10-MAX('Продажа'!$B$5,'СРОКИ'!$B$6))</f>
        <v/>
      </c>
      <c r="T6" s="45">
        <f>(1+'Вводные'!$B$40)^MAX(0,MIN('СРОКИ'!T10-'Продажа'!$B$5,'СРОКИ'!$B$6-'Продажа'!$B$5))*(1+'Вводные'!$B$41)^MAX(0,'СРОКИ'!T10-MAX('Продажа'!$B$5,'СРОКИ'!$B$6))</f>
        <v/>
      </c>
      <c r="U6" s="45">
        <f>(1+'Вводные'!$B$40)^MAX(0,MIN('СРОКИ'!U10-'Продажа'!$B$5,'СРОКИ'!$B$6-'Продажа'!$B$5))*(1+'Вводные'!$B$41)^MAX(0,'СРОКИ'!U10-MAX('Продажа'!$B$5,'СРОКИ'!$B$6))</f>
        <v/>
      </c>
      <c r="V6" s="45">
        <f>(1+'Вводные'!$B$40)^MAX(0,MIN('СРОКИ'!V10-'Продажа'!$B$5,'СРОКИ'!$B$6-'Продажа'!$B$5))*(1+'Вводные'!$B$41)^MAX(0,'СРОКИ'!V10-MAX('Продажа'!$B$5,'СРОКИ'!$B$6))</f>
        <v/>
      </c>
      <c r="W6" s="45">
        <f>(1+'Вводные'!$B$40)^MAX(0,MIN('СРОКИ'!W10-'Продажа'!$B$5,'СРОКИ'!$B$6-'Продажа'!$B$5))*(1+'Вводные'!$B$41)^MAX(0,'СРОКИ'!W10-MAX('Продажа'!$B$5,'СРОКИ'!$B$6))</f>
        <v/>
      </c>
      <c r="X6" s="45">
        <f>(1+'Вводные'!$B$40)^MAX(0,MIN('СРОКИ'!X10-'Продажа'!$B$5,'СРОКИ'!$B$6-'Продажа'!$B$5))*(1+'Вводные'!$B$41)^MAX(0,'СРОКИ'!X10-MAX('Продажа'!$B$5,'СРОКИ'!$B$6))</f>
        <v/>
      </c>
      <c r="Y6" s="45">
        <f>(1+'Вводные'!$B$40)^MAX(0,MIN('СРОКИ'!Y10-'Продажа'!$B$5,'СРОКИ'!$B$6-'Продажа'!$B$5))*(1+'Вводные'!$B$41)^MAX(0,'СРОКИ'!Y10-MAX('Продажа'!$B$5,'СРОКИ'!$B$6))</f>
        <v/>
      </c>
      <c r="Z6" s="45">
        <f>(1+'Вводные'!$B$40)^MAX(0,MIN('СРОКИ'!Z10-'Продажа'!$B$5,'СРОКИ'!$B$6-'Продажа'!$B$5))*(1+'Вводные'!$B$41)^MAX(0,'СРОКИ'!Z10-MAX('Продажа'!$B$5,'СРОКИ'!$B$6))</f>
        <v/>
      </c>
      <c r="AA6" s="45">
        <f>(1+'Вводные'!$B$40)^MAX(0,MIN('СРОКИ'!AA10-'Продажа'!$B$5,'СРОКИ'!$B$6-'Продажа'!$B$5))*(1+'Вводные'!$B$41)^MAX(0,'СРОКИ'!AA10-MAX('Продажа'!$B$5,'СРОКИ'!$B$6))</f>
        <v/>
      </c>
      <c r="AB6" s="45">
        <f>(1+'Вводные'!$B$40)^MAX(0,MIN('СРОКИ'!AB10-'Продажа'!$B$5,'СРОКИ'!$B$6-'Продажа'!$B$5))*(1+'Вводные'!$B$41)^MAX(0,'СРОКИ'!AB10-MAX('Продажа'!$B$5,'СРОКИ'!$B$6))</f>
        <v/>
      </c>
      <c r="AC6" s="45">
        <f>(1+'Вводные'!$B$40)^MAX(0,MIN('СРОКИ'!AC10-'Продажа'!$B$5,'СРОКИ'!$B$6-'Продажа'!$B$5))*(1+'Вводные'!$B$41)^MAX(0,'СРОКИ'!AC10-MAX('Продажа'!$B$5,'СРОКИ'!$B$6))</f>
        <v/>
      </c>
      <c r="AD6" s="45">
        <f>(1+'Вводные'!$B$40)^MAX(0,MIN('СРОКИ'!AD10-'Продажа'!$B$5,'СРОКИ'!$B$6-'Продажа'!$B$5))*(1+'Вводные'!$B$41)^MAX(0,'СРОКИ'!AD10-MAX('Продажа'!$B$5,'СРОКИ'!$B$6))</f>
        <v/>
      </c>
      <c r="AE6" s="45">
        <f>(1+'Вводные'!$B$40)^MAX(0,MIN('СРОКИ'!AE10-'Продажа'!$B$5,'СРОКИ'!$B$6-'Продажа'!$B$5))*(1+'Вводные'!$B$41)^MAX(0,'СРОКИ'!AE10-MAX('Продажа'!$B$5,'СРОКИ'!$B$6))</f>
        <v/>
      </c>
      <c r="AF6" s="45">
        <f>(1+'Вводные'!$B$40)^MAX(0,MIN('СРОКИ'!AF10-'Продажа'!$B$5,'СРОКИ'!$B$6-'Продажа'!$B$5))*(1+'Вводные'!$B$41)^MAX(0,'СРОКИ'!AF10-MAX('Продажа'!$B$5,'СРОКИ'!$B$6))</f>
        <v/>
      </c>
      <c r="AG6" s="45">
        <f>(1+'Вводные'!$B$40)^MAX(0,MIN('СРОКИ'!AG10-'Продажа'!$B$5,'СРОКИ'!$B$6-'Продажа'!$B$5))*(1+'Вводные'!$B$41)^MAX(0,'СРОКИ'!AG10-MAX('Продажа'!$B$5,'СРОКИ'!$B$6))</f>
        <v/>
      </c>
      <c r="AH6" s="45">
        <f>(1+'Вводные'!$B$40)^MAX(0,MIN('СРОКИ'!AH10-'Продажа'!$B$5,'СРОКИ'!$B$6-'Продажа'!$B$5))*(1+'Вводные'!$B$41)^MAX(0,'СРОКИ'!AH10-MAX('Продажа'!$B$5,'СРОКИ'!$B$6))</f>
        <v/>
      </c>
      <c r="AI6" s="45">
        <f>(1+'Вводные'!$B$40)^MAX(0,MIN('СРОКИ'!AI10-'Продажа'!$B$5,'СРОКИ'!$B$6-'Продажа'!$B$5))*(1+'Вводные'!$B$41)^MAX(0,'СРОКИ'!AI10-MAX('Продажа'!$B$5,'СРОКИ'!$B$6))</f>
        <v/>
      </c>
      <c r="AJ6" s="45">
        <f>(1+'Вводные'!$B$40)^MAX(0,MIN('СРОКИ'!AJ10-'Продажа'!$B$5,'СРОКИ'!$B$6-'Продажа'!$B$5))*(1+'Вводные'!$B$41)^MAX(0,'СРОКИ'!AJ10-MAX('Продажа'!$B$5,'СРОКИ'!$B$6))</f>
        <v/>
      </c>
      <c r="AK6" s="45">
        <f>(1+'Вводные'!$B$40)^MAX(0,MIN('СРОКИ'!AK10-'Продажа'!$B$5,'СРОКИ'!$B$6-'Продажа'!$B$5))*(1+'Вводные'!$B$41)^MAX(0,'СРОКИ'!AK10-MAX('Продажа'!$B$5,'СРОКИ'!$B$6))</f>
        <v/>
      </c>
      <c r="AL6" s="45">
        <f>(1+'Вводные'!$B$40)^MAX(0,MIN('СРОКИ'!AL10-'Продажа'!$B$5,'СРОКИ'!$B$6-'Продажа'!$B$5))*(1+'Вводные'!$B$41)^MAX(0,'СРОКИ'!AL10-MAX('Продажа'!$B$5,'СРОКИ'!$B$6))</f>
        <v/>
      </c>
      <c r="AM6" s="45">
        <f>(1+'Вводные'!$B$40)^MAX(0,MIN('СРОКИ'!AM10-'Продажа'!$B$5,'СРОКИ'!$B$6-'Продажа'!$B$5))*(1+'Вводные'!$B$41)^MAX(0,'СРОКИ'!AM10-MAX('Продажа'!$B$5,'СРОКИ'!$B$6))</f>
        <v/>
      </c>
      <c r="AN6" s="45">
        <f>(1+'Вводные'!$B$40)^MAX(0,MIN('СРОКИ'!AN10-'Продажа'!$B$5,'СРОКИ'!$B$6-'Продажа'!$B$5))*(1+'Вводные'!$B$41)^MAX(0,'СРОКИ'!AN10-MAX('Продажа'!$B$5,'СРОКИ'!$B$6))</f>
        <v/>
      </c>
      <c r="AO6" s="45">
        <f>(1+'Вводные'!$B$40)^MAX(0,MIN('СРОКИ'!AO10-'Продажа'!$B$5,'СРОКИ'!$B$6-'Продажа'!$B$5))*(1+'Вводные'!$B$41)^MAX(0,'СРОКИ'!AO10-MAX('Продажа'!$B$5,'СРОКИ'!$B$6))</f>
        <v/>
      </c>
      <c r="AP6" s="45">
        <f>(1+'Вводные'!$B$40)^MAX(0,MIN('СРОКИ'!AP10-'Продажа'!$B$5,'СРОКИ'!$B$6-'Продажа'!$B$5))*(1+'Вводные'!$B$41)^MAX(0,'СРОКИ'!AP10-MAX('Продажа'!$B$5,'СРОКИ'!$B$6))</f>
        <v/>
      </c>
      <c r="AQ6" s="45">
        <f>(1+'Вводные'!$B$40)^MAX(0,MIN('СРОКИ'!AQ10-'Продажа'!$B$5,'СРОКИ'!$B$6-'Продажа'!$B$5))*(1+'Вводные'!$B$41)^MAX(0,'СРОКИ'!AQ10-MAX('Продажа'!$B$5,'СРОКИ'!$B$6))</f>
        <v/>
      </c>
      <c r="AR6" s="45">
        <f>(1+'Вводные'!$B$40)^MAX(0,MIN('СРОКИ'!AR10-'Продажа'!$B$5,'СРОКИ'!$B$6-'Продажа'!$B$5))*(1+'Вводные'!$B$41)^MAX(0,'СРОКИ'!AR10-MAX('Продажа'!$B$5,'СРОКИ'!$B$6))</f>
        <v/>
      </c>
      <c r="AS6" s="45">
        <f>(1+'Вводные'!$B$40)^MAX(0,MIN('СРОКИ'!AS10-'Продажа'!$B$5,'СРОКИ'!$B$6-'Продажа'!$B$5))*(1+'Вводные'!$B$41)^MAX(0,'СРОКИ'!AS10-MAX('Продажа'!$B$5,'СРОКИ'!$B$6))</f>
        <v/>
      </c>
      <c r="AT6" s="45">
        <f>(1+'Вводные'!$B$40)^MAX(0,MIN('СРОКИ'!AT10-'Продажа'!$B$5,'СРОКИ'!$B$6-'Продажа'!$B$5))*(1+'Вводные'!$B$41)^MAX(0,'СРОКИ'!AT10-MAX('Продажа'!$B$5,'СРОКИ'!$B$6))</f>
        <v/>
      </c>
      <c r="AU6" s="45">
        <f>(1+'Вводные'!$B$40)^MAX(0,MIN('СРОКИ'!AU10-'Продажа'!$B$5,'СРОКИ'!$B$6-'Продажа'!$B$5))*(1+'Вводные'!$B$41)^MAX(0,'СРОКИ'!AU10-MAX('Продажа'!$B$5,'СРОКИ'!$B$6))</f>
        <v/>
      </c>
      <c r="AV6" s="45">
        <f>(1+'Вводные'!$B$40)^MAX(0,MIN('СРОКИ'!AV10-'Продажа'!$B$5,'СРОКИ'!$B$6-'Продажа'!$B$5))*(1+'Вводные'!$B$41)^MAX(0,'СРОКИ'!AV10-MAX('Продажа'!$B$5,'СРОКИ'!$B$6))</f>
        <v/>
      </c>
      <c r="AW6" s="45">
        <f>(1+'Вводные'!$B$40)^MAX(0,MIN('СРОКИ'!AW10-'Продажа'!$B$5,'СРОКИ'!$B$6-'Продажа'!$B$5))*(1+'Вводные'!$B$41)^MAX(0,'СРОКИ'!AW10-MAX('Продажа'!$B$5,'СРОКИ'!$B$6))</f>
        <v/>
      </c>
      <c r="AX6" s="45">
        <f>(1+'Вводные'!$B$40)^MAX(0,MIN('СРОКИ'!AX10-'Продажа'!$B$5,'СРОКИ'!$B$6-'Продажа'!$B$5))*(1+'Вводные'!$B$41)^MAX(0,'СРОКИ'!AX10-MAX('Продажа'!$B$5,'СРОКИ'!$B$6))</f>
        <v/>
      </c>
      <c r="AY6" s="45">
        <f>(1+'Вводные'!$B$40)^MAX(0,MIN('СРОКИ'!AY10-'Продажа'!$B$5,'СРОКИ'!$B$6-'Продажа'!$B$5))*(1+'Вводные'!$B$41)^MAX(0,'СРОКИ'!AY10-MAX('Продажа'!$B$5,'СРОКИ'!$B$6))</f>
        <v/>
      </c>
      <c r="AZ6" s="45">
        <f>(1+'Вводные'!$B$40)^MAX(0,MIN('СРОКИ'!AZ10-'Продажа'!$B$5,'СРОКИ'!$B$6-'Продажа'!$B$5))*(1+'Вводные'!$B$41)^MAX(0,'СРОКИ'!AZ10-MAX('Продажа'!$B$5,'СРОКИ'!$B$6))</f>
        <v/>
      </c>
      <c r="BA6" s="45">
        <f>(1+'Вводные'!$B$40)^MAX(0,MIN('СРОКИ'!BA10-'Продажа'!$B$5,'СРОКИ'!$B$6-'Продажа'!$B$5))*(1+'Вводные'!$B$41)^MAX(0,'СРОКИ'!BA10-MAX('Продажа'!$B$5,'СРОКИ'!$B$6))</f>
        <v/>
      </c>
      <c r="BB6" s="45">
        <f>(1+'Вводные'!$B$40)^MAX(0,MIN('СРОКИ'!BB10-'Продажа'!$B$5,'СРОКИ'!$B$6-'Продажа'!$B$5))*(1+'Вводные'!$B$41)^MAX(0,'СРОКИ'!BB10-MAX('Продажа'!$B$5,'СРОКИ'!$B$6))</f>
        <v/>
      </c>
      <c r="BC6" s="45">
        <f>(1+'Вводные'!$B$40)^MAX(0,MIN('СРОКИ'!BC10-'Продажа'!$B$5,'СРОКИ'!$B$6-'Продажа'!$B$5))*(1+'Вводные'!$B$41)^MAX(0,'СРОКИ'!BC10-MAX('Продажа'!$B$5,'СРОКИ'!$B$6))</f>
        <v/>
      </c>
      <c r="BD6" s="45">
        <f>(1+'Вводные'!$B$40)^MAX(0,MIN('СРОКИ'!BD10-'Продажа'!$B$5,'СРОКИ'!$B$6-'Продажа'!$B$5))*(1+'Вводные'!$B$41)^MAX(0,'СРОКИ'!BD10-MAX('Продажа'!$B$5,'СРОКИ'!$B$6))</f>
        <v/>
      </c>
      <c r="BE6" s="45">
        <f>(1+'Вводные'!$B$40)^MAX(0,MIN('СРОКИ'!BE10-'Продажа'!$B$5,'СРОКИ'!$B$6-'Продажа'!$B$5))*(1+'Вводные'!$B$41)^MAX(0,'СРОКИ'!BE10-MAX('Продажа'!$B$5,'СРОКИ'!$B$6))</f>
        <v/>
      </c>
      <c r="BF6" s="45">
        <f>(1+'Вводные'!$B$40)^MAX(0,MIN('СРОКИ'!BF10-'Продажа'!$B$5,'СРОКИ'!$B$6-'Продажа'!$B$5))*(1+'Вводные'!$B$41)^MAX(0,'СРОКИ'!BF10-MAX('Продажа'!$B$5,'СРОКИ'!$B$6))</f>
        <v/>
      </c>
      <c r="BG6" s="45">
        <f>(1+'Вводные'!$B$40)^MAX(0,MIN('СРОКИ'!BG10-'Продажа'!$B$5,'СРОКИ'!$B$6-'Продажа'!$B$5))*(1+'Вводные'!$B$41)^MAX(0,'СРОКИ'!BG10-MAX('Продажа'!$B$5,'СРОКИ'!$B$6))</f>
        <v/>
      </c>
      <c r="BH6" s="45">
        <f>(1+'Вводные'!$B$40)^MAX(0,MIN('СРОКИ'!BH10-'Продажа'!$B$5,'СРОКИ'!$B$6-'Продажа'!$B$5))*(1+'Вводные'!$B$41)^MAX(0,'СРОКИ'!BH10-MAX('Продажа'!$B$5,'СРОКИ'!$B$6))</f>
        <v/>
      </c>
      <c r="BI6" s="45">
        <f>(1+'Вводные'!$B$40)^MAX(0,MIN('СРОКИ'!BI10-'Продажа'!$B$5,'СРОКИ'!$B$6-'Продажа'!$B$5))*(1+'Вводные'!$B$41)^MAX(0,'СРОКИ'!BI10-MAX('Продажа'!$B$5,'СРОКИ'!$B$6))</f>
        <v/>
      </c>
      <c r="BJ6" s="45">
        <f>(1+'Вводные'!$B$40)^MAX(0,MIN('СРОКИ'!BJ10-'Продажа'!$B$5,'СРОКИ'!$B$6-'Продажа'!$B$5))*(1+'Вводные'!$B$41)^MAX(0,'СРОКИ'!BJ10-MAX('Продажа'!$B$5,'СРОКИ'!$B$6))</f>
        <v/>
      </c>
      <c r="BK6" s="45">
        <f>(1+'Вводные'!$B$40)^MAX(0,MIN('СРОКИ'!BK10-'Продажа'!$B$5,'СРОКИ'!$B$6-'Продажа'!$B$5))*(1+'Вводные'!$B$41)^MAX(0,'СРОКИ'!BK10-MAX('Продажа'!$B$5,'СРОКИ'!$B$6))</f>
        <v/>
      </c>
      <c r="BL6" s="45">
        <f>(1+'Вводные'!$B$40)^MAX(0,MIN('СРОКИ'!BL10-'Продажа'!$B$5,'СРОКИ'!$B$6-'Продажа'!$B$5))*(1+'Вводные'!$B$41)^MAX(0,'СРОКИ'!BL10-MAX('Продажа'!$B$5,'СРОКИ'!$B$6))</f>
        <v/>
      </c>
      <c r="BM6" s="45">
        <f>(1+'Вводные'!$B$40)^MAX(0,MIN('СРОКИ'!BM10-'Продажа'!$B$5,'СРОКИ'!$B$6-'Продажа'!$B$5))*(1+'Вводные'!$B$41)^MAX(0,'СРОКИ'!BM10-MAX('Продажа'!$B$5,'СРОКИ'!$B$6))</f>
        <v/>
      </c>
      <c r="BN6" s="45">
        <f>(1+'Вводные'!$B$40)^MAX(0,MIN('СРОКИ'!BN10-'Продажа'!$B$5,'СРОКИ'!$B$6-'Продажа'!$B$5))*(1+'Вводные'!$B$41)^MAX(0,'СРОКИ'!BN10-MAX('Продажа'!$B$5,'СРОКИ'!$B$6))</f>
        <v/>
      </c>
      <c r="BO6" s="45">
        <f>(1+'Вводные'!$B$40)^MAX(0,MIN('СРОКИ'!BO10-'Продажа'!$B$5,'СРОКИ'!$B$6-'Продажа'!$B$5))*(1+'Вводные'!$B$41)^MAX(0,'СРОКИ'!BO10-MAX('Продажа'!$B$5,'СРОКИ'!$B$6))</f>
        <v/>
      </c>
      <c r="BP6" s="45">
        <f>(1+'Вводные'!$B$40)^MAX(0,MIN('СРОКИ'!BP10-'Продажа'!$B$5,'СРОКИ'!$B$6-'Продажа'!$B$5))*(1+'Вводные'!$B$41)^MAX(0,'СРОКИ'!BP10-MAX('Продажа'!$B$5,'СРОКИ'!$B$6))</f>
        <v/>
      </c>
      <c r="BQ6" s="45">
        <f>(1+'Вводные'!$B$40)^MAX(0,MIN('СРОКИ'!BQ10-'Продажа'!$B$5,'СРОКИ'!$B$6-'Продажа'!$B$5))*(1+'Вводные'!$B$41)^MAX(0,'СРОКИ'!BQ10-MAX('Продажа'!$B$5,'СРОКИ'!$B$6))</f>
        <v/>
      </c>
      <c r="BR6" s="45">
        <f>(1+'Вводные'!$B$40)^MAX(0,MIN('СРОКИ'!BR10-'Продажа'!$B$5,'СРОКИ'!$B$6-'Продажа'!$B$5))*(1+'Вводные'!$B$41)^MAX(0,'СРОКИ'!BR10-MAX('Продажа'!$B$5,'СРОКИ'!$B$6))</f>
        <v/>
      </c>
      <c r="BS6" s="45">
        <f>(1+'Вводные'!$B$40)^MAX(0,MIN('СРОКИ'!BS10-'Продажа'!$B$5,'СРОКИ'!$B$6-'Продажа'!$B$5))*(1+'Вводные'!$B$41)^MAX(0,'СРОКИ'!BS10-MAX('Продажа'!$B$5,'СРОКИ'!$B$6))</f>
        <v/>
      </c>
      <c r="BT6" s="45">
        <f>(1+'Вводные'!$B$40)^MAX(0,MIN('СРОКИ'!BT10-'Продажа'!$B$5,'СРОКИ'!$B$6-'Продажа'!$B$5))*(1+'Вводные'!$B$41)^MAX(0,'СРОКИ'!BT10-MAX('Продажа'!$B$5,'СРОКИ'!$B$6))</f>
        <v/>
      </c>
      <c r="BU6" s="45">
        <f>(1+'Вводные'!$B$40)^MAX(0,MIN('СРОКИ'!BU10-'Продажа'!$B$5,'СРОКИ'!$B$6-'Продажа'!$B$5))*(1+'Вводные'!$B$41)^MAX(0,'СРОКИ'!BU10-MAX('Продажа'!$B$5,'СРОКИ'!$B$6))</f>
        <v/>
      </c>
      <c r="BV6" s="45">
        <f>(1+'Вводные'!$B$40)^MAX(0,MIN('СРОКИ'!BV10-'Продажа'!$B$5,'СРОКИ'!$B$6-'Продажа'!$B$5))*(1+'Вводные'!$B$41)^MAX(0,'СРОКИ'!BV10-MAX('Продажа'!$B$5,'СРОКИ'!$B$6))</f>
        <v/>
      </c>
      <c r="BW6" s="45">
        <f>(1+'Вводные'!$B$40)^MAX(0,MIN('СРОКИ'!BW10-'Продажа'!$B$5,'СРОКИ'!$B$6-'Продажа'!$B$5))*(1+'Вводные'!$B$41)^MAX(0,'СРОКИ'!BW10-MAX('Продажа'!$B$5,'СРОКИ'!$B$6))</f>
        <v/>
      </c>
      <c r="BX6" s="45">
        <f>(1+'Вводные'!$B$40)^MAX(0,MIN('СРОКИ'!BX10-'Продажа'!$B$5,'СРОКИ'!$B$6-'Продажа'!$B$5))*(1+'Вводные'!$B$41)^MAX(0,'СРОКИ'!BX10-MAX('Продажа'!$B$5,'СРОКИ'!$B$6))</f>
        <v/>
      </c>
      <c r="BY6" s="45">
        <f>(1+'Вводные'!$B$40)^MAX(0,MIN('СРОКИ'!BY10-'Продажа'!$B$5,'СРОКИ'!$B$6-'Продажа'!$B$5))*(1+'Вводные'!$B$41)^MAX(0,'СРОКИ'!BY10-MAX('Продажа'!$B$5,'СРОКИ'!$B$6))</f>
        <v/>
      </c>
      <c r="BZ6" s="45">
        <f>(1+'Вводные'!$B$40)^MAX(0,MIN('СРОКИ'!BZ10-'Продажа'!$B$5,'СРОКИ'!$B$6-'Продажа'!$B$5))*(1+'Вводные'!$B$41)^MAX(0,'СРОКИ'!BZ10-MAX('Продажа'!$B$5,'СРОКИ'!$B$6))</f>
        <v/>
      </c>
      <c r="CA6" s="45">
        <f>(1+'Вводные'!$B$40)^MAX(0,MIN('СРОКИ'!CA10-'Продажа'!$B$5,'СРОКИ'!$B$6-'Продажа'!$B$5))*(1+'Вводные'!$B$41)^MAX(0,'СРОКИ'!CA10-MAX('Продажа'!$B$5,'СРОКИ'!$B$6))</f>
        <v/>
      </c>
      <c r="CB6" s="45">
        <f>(1+'Вводные'!$B$40)^MAX(0,MIN('СРОКИ'!CB10-'Продажа'!$B$5,'СРОКИ'!$B$6-'Продажа'!$B$5))*(1+'Вводные'!$B$41)^MAX(0,'СРОКИ'!CB10-MAX('Продажа'!$B$5,'СРОКИ'!$B$6))</f>
        <v/>
      </c>
      <c r="CC6" s="45">
        <f>(1+'Вводные'!$B$40)^MAX(0,MIN('СРОКИ'!CC10-'Продажа'!$B$5,'СРОКИ'!$B$6-'Продажа'!$B$5))*(1+'Вводные'!$B$41)^MAX(0,'СРОКИ'!CC10-MAX('Продажа'!$B$5,'СРОКИ'!$B$6))</f>
        <v/>
      </c>
      <c r="CD6" s="45">
        <f>(1+'Вводные'!$B$40)^MAX(0,MIN('СРОКИ'!CD10-'Продажа'!$B$5,'СРОКИ'!$B$6-'Продажа'!$B$5))*(1+'Вводные'!$B$41)^MAX(0,'СРОКИ'!CD10-MAX('Продажа'!$B$5,'СРОКИ'!$B$6))</f>
        <v/>
      </c>
      <c r="CE6" s="45">
        <f>(1+'Вводные'!$B$40)^MAX(0,MIN('СРОКИ'!CE10-'Продажа'!$B$5,'СРОКИ'!$B$6-'Продажа'!$B$5))*(1+'Вводные'!$B$41)^MAX(0,'СРОКИ'!CE10-MAX('Продажа'!$B$5,'СРОКИ'!$B$6))</f>
        <v/>
      </c>
      <c r="CF6" s="45">
        <f>(1+'Вводные'!$B$40)^MAX(0,MIN('СРОКИ'!CF10-'Продажа'!$B$5,'СРОКИ'!$B$6-'Продажа'!$B$5))*(1+'Вводные'!$B$41)^MAX(0,'СРОКИ'!CF10-MAX('Продажа'!$B$5,'СРОКИ'!$B$6))</f>
        <v/>
      </c>
      <c r="CG6" s="45">
        <f>(1+'Вводные'!$B$40)^MAX(0,MIN('СРОКИ'!CG10-'Продажа'!$B$5,'СРОКИ'!$B$6-'Продажа'!$B$5))*(1+'Вводные'!$B$41)^MAX(0,'СРОКИ'!CG10-MAX('Продажа'!$B$5,'СРОКИ'!$B$6))</f>
        <v/>
      </c>
      <c r="CH6" s="45">
        <f>(1+'Вводные'!$B$40)^MAX(0,MIN('СРОКИ'!CH10-'Продажа'!$B$5,'СРОКИ'!$B$6-'Продажа'!$B$5))*(1+'Вводные'!$B$41)^MAX(0,'СРОКИ'!CH10-MAX('Продажа'!$B$5,'СРОКИ'!$B$6))</f>
        <v/>
      </c>
      <c r="CI6" s="45">
        <f>(1+'Вводные'!$B$40)^MAX(0,MIN('СРОКИ'!CI10-'Продажа'!$B$5,'СРОКИ'!$B$6-'Продажа'!$B$5))*(1+'Вводные'!$B$41)^MAX(0,'СРОКИ'!CI10-MAX('Продажа'!$B$5,'СРОКИ'!$B$6))</f>
        <v/>
      </c>
      <c r="CJ6" s="45">
        <f>(1+'Вводные'!$B$40)^MAX(0,MIN('СРОКИ'!CJ10-'Продажа'!$B$5,'СРОКИ'!$B$6-'Продажа'!$B$5))*(1+'Вводные'!$B$41)^MAX(0,'СРОКИ'!CJ10-MAX('Продажа'!$B$5,'СРОКИ'!$B$6))</f>
        <v/>
      </c>
      <c r="CK6" s="45">
        <f>(1+'Вводные'!$B$40)^MAX(0,MIN('СРОКИ'!CK10-'Продажа'!$B$5,'СРОКИ'!$B$6-'Продажа'!$B$5))*(1+'Вводные'!$B$41)^MAX(0,'СРОКИ'!CK10-MAX('Продажа'!$B$5,'СРОКИ'!$B$6))</f>
        <v/>
      </c>
      <c r="CL6" s="45">
        <f>(1+'Вводные'!$B$40)^MAX(0,MIN('СРОКИ'!CL10-'Продажа'!$B$5,'СРОКИ'!$B$6-'Продажа'!$B$5))*(1+'Вводные'!$B$41)^MAX(0,'СРОКИ'!CL10-MAX('Продажа'!$B$5,'СРОКИ'!$B$6))</f>
        <v/>
      </c>
      <c r="CM6" s="45">
        <f>(1+'Вводные'!$B$40)^MAX(0,MIN('СРОКИ'!CM10-'Продажа'!$B$5,'СРОКИ'!$B$6-'Продажа'!$B$5))*(1+'Вводные'!$B$41)^MAX(0,'СРОКИ'!CM10-MAX('Продажа'!$B$5,'СРОКИ'!$B$6))</f>
        <v/>
      </c>
      <c r="CN6" s="45">
        <f>(1+'Вводные'!$B$40)^MAX(0,MIN('СРОКИ'!CN10-'Продажа'!$B$5,'СРОКИ'!$B$6-'Продажа'!$B$5))*(1+'Вводные'!$B$41)^MAX(0,'СРОКИ'!CN10-MAX('Продажа'!$B$5,'СРОКИ'!$B$6))</f>
        <v/>
      </c>
      <c r="CO6" s="45">
        <f>(1+'Вводные'!$B$40)^MAX(0,MIN('СРОКИ'!CO10-'Продажа'!$B$5,'СРОКИ'!$B$6-'Продажа'!$B$5))*(1+'Вводные'!$B$41)^MAX(0,'СРОКИ'!CO10-MAX('Продажа'!$B$5,'СРОКИ'!$B$6))</f>
        <v/>
      </c>
      <c r="CP6" s="45">
        <f>(1+'Вводные'!$B$40)^MAX(0,MIN('СРОКИ'!CP10-'Продажа'!$B$5,'СРОКИ'!$B$6-'Продажа'!$B$5))*(1+'Вводные'!$B$41)^MAX(0,'СРОКИ'!CP10-MAX('Продажа'!$B$5,'СРОКИ'!$B$6))</f>
        <v/>
      </c>
      <c r="CQ6" s="45">
        <f>(1+'Вводные'!$B$40)^MAX(0,MIN('СРОКИ'!CQ10-'Продажа'!$B$5,'СРОКИ'!$B$6-'Продажа'!$B$5))*(1+'Вводные'!$B$41)^MAX(0,'СРОКИ'!CQ10-MAX('Продажа'!$B$5,'СРОКИ'!$B$6))</f>
        <v/>
      </c>
      <c r="CR6" s="45">
        <f>(1+'Вводные'!$B$40)^MAX(0,MIN('СРОКИ'!CR10-'Продажа'!$B$5,'СРОКИ'!$B$6-'Продажа'!$B$5))*(1+'Вводные'!$B$41)^MAX(0,'СРОКИ'!CR10-MAX('Продажа'!$B$5,'СРОКИ'!$B$6))</f>
        <v/>
      </c>
      <c r="CS6" s="45">
        <f>(1+'Вводные'!$B$40)^MAX(0,MIN('СРОКИ'!CS10-'Продажа'!$B$5,'СРОКИ'!$B$6-'Продажа'!$B$5))*(1+'Вводные'!$B$41)^MAX(0,'СРОКИ'!CS10-MAX('Продажа'!$B$5,'СРОКИ'!$B$6))</f>
        <v/>
      </c>
      <c r="CT6" s="45">
        <f>(1+'Вводные'!$B$40)^MAX(0,MIN('СРОКИ'!CT10-'Продажа'!$B$5,'СРОКИ'!$B$6-'Продажа'!$B$5))*(1+'Вводные'!$B$41)^MAX(0,'СРОКИ'!CT10-MAX('Продажа'!$B$5,'СРОКИ'!$B$6))</f>
        <v/>
      </c>
      <c r="CU6" s="45">
        <f>(1+'Вводные'!$B$40)^MAX(0,MIN('СРОКИ'!CU10-'Продажа'!$B$5,'СРОКИ'!$B$6-'Продажа'!$B$5))*(1+'Вводные'!$B$41)^MAX(0,'СРОКИ'!CU10-MAX('Продажа'!$B$5,'СРОКИ'!$B$6))</f>
        <v/>
      </c>
      <c r="CV6" s="45">
        <f>(1+'Вводные'!$B$40)^MAX(0,MIN('СРОКИ'!CV10-'Продажа'!$B$5,'СРОКИ'!$B$6-'Продажа'!$B$5))*(1+'Вводные'!$B$41)^MAX(0,'СРОКИ'!CV10-MAX('Продажа'!$B$5,'СРОКИ'!$B$6))</f>
        <v/>
      </c>
      <c r="CW6" s="45">
        <f>(1+'Вводные'!$B$40)^MAX(0,MIN('СРОКИ'!CW10-'Продажа'!$B$5,'СРОКИ'!$B$6-'Продажа'!$B$5))*(1+'Вводные'!$B$41)^MAX(0,'СРОКИ'!CW10-MAX('Продажа'!$B$5,'СРОКИ'!$B$6))</f>
        <v/>
      </c>
      <c r="CX6" s="45">
        <f>(1+'Вводные'!$B$40)^MAX(0,MIN('СРОКИ'!CX10-'Продажа'!$B$5,'СРОКИ'!$B$6-'Продажа'!$B$5))*(1+'Вводные'!$B$41)^MAX(0,'СРОКИ'!CX10-MAX('Продажа'!$B$5,'СРОКИ'!$B$6))</f>
        <v/>
      </c>
      <c r="CY6" s="45">
        <f>(1+'Вводные'!$B$40)^MAX(0,MIN('СРОКИ'!CY10-'Продажа'!$B$5,'СРОКИ'!$B$6-'Продажа'!$B$5))*(1+'Вводные'!$B$41)^MAX(0,'СРОКИ'!CY10-MAX('Продажа'!$B$5,'СРОКИ'!$B$6))</f>
        <v/>
      </c>
      <c r="CZ6" s="45">
        <f>(1+'Вводные'!$B$40)^MAX(0,MIN('СРОКИ'!CZ10-'Продажа'!$B$5,'СРОКИ'!$B$6-'Продажа'!$B$5))*(1+'Вводные'!$B$41)^MAX(0,'СРОКИ'!CZ10-MAX('Продажа'!$B$5,'СРОКИ'!$B$6))</f>
        <v/>
      </c>
      <c r="DA6" s="45">
        <f>(1+'Вводные'!$B$40)^MAX(0,MIN('СРОКИ'!DA10-'Продажа'!$B$5,'СРОКИ'!$B$6-'Продажа'!$B$5))*(1+'Вводные'!$B$41)^MAX(0,'СРОКИ'!DA10-MAX('Продажа'!$B$5,'СРОКИ'!$B$6))</f>
        <v/>
      </c>
      <c r="DB6" s="45">
        <f>(1+'Вводные'!$B$40)^MAX(0,MIN('СРОКИ'!DB10-'Продажа'!$B$5,'СРОКИ'!$B$6-'Продажа'!$B$5))*(1+'Вводные'!$B$41)^MAX(0,'СРОКИ'!DB10-MAX('Продажа'!$B$5,'СРОКИ'!$B$6))</f>
        <v/>
      </c>
      <c r="DC6" s="45">
        <f>(1+'Вводные'!$B$40)^MAX(0,MIN('СРОКИ'!DC10-'Продажа'!$B$5,'СРОКИ'!$B$6-'Продажа'!$B$5))*(1+'Вводные'!$B$41)^MAX(0,'СРОКИ'!DC10-MAX('Продажа'!$B$5,'СРОКИ'!$B$6))</f>
        <v/>
      </c>
      <c r="DD6" s="45">
        <f>(1+'Вводные'!$B$40)^MAX(0,MIN('СРОКИ'!DD10-'Продажа'!$B$5,'СРОКИ'!$B$6-'Продажа'!$B$5))*(1+'Вводные'!$B$41)^MAX(0,'СРОКИ'!DD10-MAX('Продажа'!$B$5,'СРОКИ'!$B$6))</f>
        <v/>
      </c>
      <c r="DE6" s="45">
        <f>(1+'Вводные'!$B$40)^MAX(0,MIN('СРОКИ'!DE10-'Продажа'!$B$5,'СРОКИ'!$B$6-'Продажа'!$B$5))*(1+'Вводные'!$B$41)^MAX(0,'СРОКИ'!DE10-MAX('Продажа'!$B$5,'СРОКИ'!$B$6))</f>
        <v/>
      </c>
      <c r="DF6" s="45">
        <f>(1+'Вводные'!$B$40)^MAX(0,MIN('СРОКИ'!DF10-'Продажа'!$B$5,'СРОКИ'!$B$6-'Продажа'!$B$5))*(1+'Вводные'!$B$41)^MAX(0,'СРОКИ'!DF10-MAX('Продажа'!$B$5,'СРОКИ'!$B$6))</f>
        <v/>
      </c>
      <c r="DG6" s="45">
        <f>(1+'Вводные'!$B$40)^MAX(0,MIN('СРОКИ'!DG10-'Продажа'!$B$5,'СРОКИ'!$B$6-'Продажа'!$B$5))*(1+'Вводные'!$B$41)^MAX(0,'СРОКИ'!DG10-MAX('Продажа'!$B$5,'СРОКИ'!$B$6))</f>
        <v/>
      </c>
      <c r="DH6" s="45">
        <f>(1+'Вводные'!$B$40)^MAX(0,MIN('СРОКИ'!DH10-'Продажа'!$B$5,'СРОКИ'!$B$6-'Продажа'!$B$5))*(1+'Вводные'!$B$41)^MAX(0,'СРОКИ'!DH10-MAX('Продажа'!$B$5,'СРОКИ'!$B$6))</f>
        <v/>
      </c>
      <c r="DI6" s="45">
        <f>(1+'Вводные'!$B$40)^MAX(0,MIN('СРОКИ'!DI10-'Продажа'!$B$5,'СРОКИ'!$B$6-'Продажа'!$B$5))*(1+'Вводные'!$B$41)^MAX(0,'СРОКИ'!DI10-MAX('Продажа'!$B$5,'СРОКИ'!$B$6))</f>
        <v/>
      </c>
      <c r="DJ6" s="45">
        <f>(1+'Вводные'!$B$40)^MAX(0,MIN('СРОКИ'!DJ10-'Продажа'!$B$5,'СРОКИ'!$B$6-'Продажа'!$B$5))*(1+'Вводные'!$B$41)^MAX(0,'СРОКИ'!DJ10-MAX('Продажа'!$B$5,'СРОКИ'!$B$6))</f>
        <v/>
      </c>
      <c r="DK6" s="45">
        <f>(1+'Вводные'!$B$40)^MAX(0,MIN('СРОКИ'!DK10-'Продажа'!$B$5,'СРОКИ'!$B$6-'Продажа'!$B$5))*(1+'Вводные'!$B$41)^MAX(0,'СРОКИ'!DK10-MAX('Продажа'!$B$5,'СРОКИ'!$B$6))</f>
        <v/>
      </c>
      <c r="DL6" s="45">
        <f>(1+'Вводные'!$B$40)^MAX(0,MIN('СРОКИ'!DL10-'Продажа'!$B$5,'СРОКИ'!$B$6-'Продажа'!$B$5))*(1+'Вводные'!$B$41)^MAX(0,'СРОКИ'!DL10-MAX('Продажа'!$B$5,'СРОКИ'!$B$6))</f>
        <v/>
      </c>
      <c r="DM6" s="45">
        <f>(1+'Вводные'!$B$40)^MAX(0,MIN('СРОКИ'!DM10-'Продажа'!$B$5,'СРОКИ'!$B$6-'Продажа'!$B$5))*(1+'Вводные'!$B$41)^MAX(0,'СРОКИ'!DM10-MAX('Продажа'!$B$5,'СРОКИ'!$B$6))</f>
        <v/>
      </c>
    </row>
    <row r="7">
      <c r="A7" s="36" t="inlineStr">
        <is>
          <t>Доля продаж месяца</t>
        </is>
      </c>
      <c r="B7" s="44">
        <f>SUM(D7:DM7)</f>
        <v/>
      </c>
      <c r="C7" s="37" t="inlineStr"/>
      <c r="D7" s="46">
        <f>'СРОКИ'!D13/'Вводные'!$B$42</f>
        <v/>
      </c>
      <c r="E7" s="46">
        <f>'СРОКИ'!E13/'Вводные'!$B$42</f>
        <v/>
      </c>
      <c r="F7" s="46">
        <f>'СРОКИ'!F13/'Вводные'!$B$42</f>
        <v/>
      </c>
      <c r="G7" s="46">
        <f>'СРОКИ'!G13/'Вводные'!$B$42</f>
        <v/>
      </c>
      <c r="H7" s="46">
        <f>'СРОКИ'!H13/'Вводные'!$B$42</f>
        <v/>
      </c>
      <c r="I7" s="46">
        <f>'СРОКИ'!I13/'Вводные'!$B$42</f>
        <v/>
      </c>
      <c r="J7" s="46">
        <f>'СРОКИ'!J13/'Вводные'!$B$42</f>
        <v/>
      </c>
      <c r="K7" s="46">
        <f>'СРОКИ'!K13/'Вводные'!$B$42</f>
        <v/>
      </c>
      <c r="L7" s="46">
        <f>'СРОКИ'!L13/'Вводные'!$B$42</f>
        <v/>
      </c>
      <c r="M7" s="46">
        <f>'СРОКИ'!M13/'Вводные'!$B$42</f>
        <v/>
      </c>
      <c r="N7" s="46">
        <f>'СРОКИ'!N13/'Вводные'!$B$42</f>
        <v/>
      </c>
      <c r="O7" s="46">
        <f>'СРОКИ'!O13/'Вводные'!$B$42</f>
        <v/>
      </c>
      <c r="P7" s="46">
        <f>'СРОКИ'!P13/'Вводные'!$B$42</f>
        <v/>
      </c>
      <c r="Q7" s="46">
        <f>'СРОКИ'!Q13/'Вводные'!$B$42</f>
        <v/>
      </c>
      <c r="R7" s="46">
        <f>'СРОКИ'!R13/'Вводные'!$B$42</f>
        <v/>
      </c>
      <c r="S7" s="46">
        <f>'СРОКИ'!S13/'Вводные'!$B$42</f>
        <v/>
      </c>
      <c r="T7" s="46">
        <f>'СРОКИ'!T13/'Вводные'!$B$42</f>
        <v/>
      </c>
      <c r="U7" s="46">
        <f>'СРОКИ'!U13/'Вводные'!$B$42</f>
        <v/>
      </c>
      <c r="V7" s="46">
        <f>'СРОКИ'!V13/'Вводные'!$B$42</f>
        <v/>
      </c>
      <c r="W7" s="46">
        <f>'СРОКИ'!W13/'Вводные'!$B$42</f>
        <v/>
      </c>
      <c r="X7" s="46">
        <f>'СРОКИ'!X13/'Вводные'!$B$42</f>
        <v/>
      </c>
      <c r="Y7" s="46">
        <f>'СРОКИ'!Y13/'Вводные'!$B$42</f>
        <v/>
      </c>
      <c r="Z7" s="46">
        <f>'СРОКИ'!Z13/'Вводные'!$B$42</f>
        <v/>
      </c>
      <c r="AA7" s="46">
        <f>'СРОКИ'!AA13/'Вводные'!$B$42</f>
        <v/>
      </c>
      <c r="AB7" s="46">
        <f>'СРОКИ'!AB13/'Вводные'!$B$42</f>
        <v/>
      </c>
      <c r="AC7" s="46">
        <f>'СРОКИ'!AC13/'Вводные'!$B$42</f>
        <v/>
      </c>
      <c r="AD7" s="46">
        <f>'СРОКИ'!AD13/'Вводные'!$B$42</f>
        <v/>
      </c>
      <c r="AE7" s="46">
        <f>'СРОКИ'!AE13/'Вводные'!$B$42</f>
        <v/>
      </c>
      <c r="AF7" s="46">
        <f>'СРОКИ'!AF13/'Вводные'!$B$42</f>
        <v/>
      </c>
      <c r="AG7" s="46">
        <f>'СРОКИ'!AG13/'Вводные'!$B$42</f>
        <v/>
      </c>
      <c r="AH7" s="46">
        <f>'СРОКИ'!AH13/'Вводные'!$B$42</f>
        <v/>
      </c>
      <c r="AI7" s="46">
        <f>'СРОКИ'!AI13/'Вводные'!$B$42</f>
        <v/>
      </c>
      <c r="AJ7" s="46">
        <f>'СРОКИ'!AJ13/'Вводные'!$B$42</f>
        <v/>
      </c>
      <c r="AK7" s="46">
        <f>'СРОКИ'!AK13/'Вводные'!$B$42</f>
        <v/>
      </c>
      <c r="AL7" s="46">
        <f>'СРОКИ'!AL13/'Вводные'!$B$42</f>
        <v/>
      </c>
      <c r="AM7" s="46">
        <f>'СРОКИ'!AM13/'Вводные'!$B$42</f>
        <v/>
      </c>
      <c r="AN7" s="46">
        <f>'СРОКИ'!AN13/'Вводные'!$B$42</f>
        <v/>
      </c>
      <c r="AO7" s="46">
        <f>'СРОКИ'!AO13/'Вводные'!$B$42</f>
        <v/>
      </c>
      <c r="AP7" s="46">
        <f>'СРОКИ'!AP13/'Вводные'!$B$42</f>
        <v/>
      </c>
      <c r="AQ7" s="46">
        <f>'СРОКИ'!AQ13/'Вводные'!$B$42</f>
        <v/>
      </c>
      <c r="AR7" s="46">
        <f>'СРОКИ'!AR13/'Вводные'!$B$42</f>
        <v/>
      </c>
      <c r="AS7" s="46">
        <f>'СРОКИ'!AS13/'Вводные'!$B$42</f>
        <v/>
      </c>
      <c r="AT7" s="46">
        <f>'СРОКИ'!AT13/'Вводные'!$B$42</f>
        <v/>
      </c>
      <c r="AU7" s="46">
        <f>'СРОКИ'!AU13/'Вводные'!$B$42</f>
        <v/>
      </c>
      <c r="AV7" s="46">
        <f>'СРОКИ'!AV13/'Вводные'!$B$42</f>
        <v/>
      </c>
      <c r="AW7" s="46">
        <f>'СРОКИ'!AW13/'Вводные'!$B$42</f>
        <v/>
      </c>
      <c r="AX7" s="46">
        <f>'СРОКИ'!AX13/'Вводные'!$B$42</f>
        <v/>
      </c>
      <c r="AY7" s="46">
        <f>'СРОКИ'!AY13/'Вводные'!$B$42</f>
        <v/>
      </c>
      <c r="AZ7" s="46">
        <f>'СРОКИ'!AZ13/'Вводные'!$B$42</f>
        <v/>
      </c>
      <c r="BA7" s="46">
        <f>'СРОКИ'!BA13/'Вводные'!$B$42</f>
        <v/>
      </c>
      <c r="BB7" s="46">
        <f>'СРОКИ'!BB13/'Вводные'!$B$42</f>
        <v/>
      </c>
      <c r="BC7" s="46">
        <f>'СРОКИ'!BC13/'Вводные'!$B$42</f>
        <v/>
      </c>
      <c r="BD7" s="46">
        <f>'СРОКИ'!BD13/'Вводные'!$B$42</f>
        <v/>
      </c>
      <c r="BE7" s="46">
        <f>'СРОКИ'!BE13/'Вводные'!$B$42</f>
        <v/>
      </c>
      <c r="BF7" s="46">
        <f>'СРОКИ'!BF13/'Вводные'!$B$42</f>
        <v/>
      </c>
      <c r="BG7" s="46">
        <f>'СРОКИ'!BG13/'Вводные'!$B$42</f>
        <v/>
      </c>
      <c r="BH7" s="46">
        <f>'СРОКИ'!BH13/'Вводные'!$B$42</f>
        <v/>
      </c>
      <c r="BI7" s="46">
        <f>'СРОКИ'!BI13/'Вводные'!$B$42</f>
        <v/>
      </c>
      <c r="BJ7" s="46">
        <f>'СРОКИ'!BJ13/'Вводные'!$B$42</f>
        <v/>
      </c>
      <c r="BK7" s="46">
        <f>'СРОКИ'!BK13/'Вводные'!$B$42</f>
        <v/>
      </c>
      <c r="BL7" s="46">
        <f>'СРОКИ'!BL13/'Вводные'!$B$42</f>
        <v/>
      </c>
      <c r="BM7" s="46">
        <f>'СРОКИ'!BM13/'Вводные'!$B$42</f>
        <v/>
      </c>
      <c r="BN7" s="46">
        <f>'СРОКИ'!BN13/'Вводные'!$B$42</f>
        <v/>
      </c>
      <c r="BO7" s="46">
        <f>'СРОКИ'!BO13/'Вводные'!$B$42</f>
        <v/>
      </c>
      <c r="BP7" s="46">
        <f>'СРОКИ'!BP13/'Вводные'!$B$42</f>
        <v/>
      </c>
      <c r="BQ7" s="46">
        <f>'СРОКИ'!BQ13/'Вводные'!$B$42</f>
        <v/>
      </c>
      <c r="BR7" s="46">
        <f>'СРОКИ'!BR13/'Вводные'!$B$42</f>
        <v/>
      </c>
      <c r="BS7" s="46">
        <f>'СРОКИ'!BS13/'Вводные'!$B$42</f>
        <v/>
      </c>
      <c r="BT7" s="46">
        <f>'СРОКИ'!BT13/'Вводные'!$B$42</f>
        <v/>
      </c>
      <c r="BU7" s="46">
        <f>'СРОКИ'!BU13/'Вводные'!$B$42</f>
        <v/>
      </c>
      <c r="BV7" s="46">
        <f>'СРОКИ'!BV13/'Вводные'!$B$42</f>
        <v/>
      </c>
      <c r="BW7" s="46">
        <f>'СРОКИ'!BW13/'Вводные'!$B$42</f>
        <v/>
      </c>
      <c r="BX7" s="46">
        <f>'СРОКИ'!BX13/'Вводные'!$B$42</f>
        <v/>
      </c>
      <c r="BY7" s="46">
        <f>'СРОКИ'!BY13/'Вводные'!$B$42</f>
        <v/>
      </c>
      <c r="BZ7" s="46">
        <f>'СРОКИ'!BZ13/'Вводные'!$B$42</f>
        <v/>
      </c>
      <c r="CA7" s="46">
        <f>'СРОКИ'!CA13/'Вводные'!$B$42</f>
        <v/>
      </c>
      <c r="CB7" s="46">
        <f>'СРОКИ'!CB13/'Вводные'!$B$42</f>
        <v/>
      </c>
      <c r="CC7" s="46">
        <f>'СРОКИ'!CC13/'Вводные'!$B$42</f>
        <v/>
      </c>
      <c r="CD7" s="46">
        <f>'СРОКИ'!CD13/'Вводные'!$B$42</f>
        <v/>
      </c>
      <c r="CE7" s="46">
        <f>'СРОКИ'!CE13/'Вводные'!$B$42</f>
        <v/>
      </c>
      <c r="CF7" s="46">
        <f>'СРОКИ'!CF13/'Вводные'!$B$42</f>
        <v/>
      </c>
      <c r="CG7" s="46">
        <f>'СРОКИ'!CG13/'Вводные'!$B$42</f>
        <v/>
      </c>
      <c r="CH7" s="46">
        <f>'СРОКИ'!CH13/'Вводные'!$B$42</f>
        <v/>
      </c>
      <c r="CI7" s="46">
        <f>'СРОКИ'!CI13/'Вводные'!$B$42</f>
        <v/>
      </c>
      <c r="CJ7" s="46">
        <f>'СРОКИ'!CJ13/'Вводные'!$B$42</f>
        <v/>
      </c>
      <c r="CK7" s="46">
        <f>'СРОКИ'!CK13/'Вводные'!$B$42</f>
        <v/>
      </c>
      <c r="CL7" s="46">
        <f>'СРОКИ'!CL13/'Вводные'!$B$42</f>
        <v/>
      </c>
      <c r="CM7" s="46">
        <f>'СРОКИ'!CM13/'Вводные'!$B$42</f>
        <v/>
      </c>
      <c r="CN7" s="46">
        <f>'СРОКИ'!CN13/'Вводные'!$B$42</f>
        <v/>
      </c>
      <c r="CO7" s="46">
        <f>'СРОКИ'!CO13/'Вводные'!$B$42</f>
        <v/>
      </c>
      <c r="CP7" s="46">
        <f>'СРОКИ'!CP13/'Вводные'!$B$42</f>
        <v/>
      </c>
      <c r="CQ7" s="46">
        <f>'СРОКИ'!CQ13/'Вводные'!$B$42</f>
        <v/>
      </c>
      <c r="CR7" s="46">
        <f>'СРОКИ'!CR13/'Вводные'!$B$42</f>
        <v/>
      </c>
      <c r="CS7" s="46">
        <f>'СРОКИ'!CS13/'Вводные'!$B$42</f>
        <v/>
      </c>
      <c r="CT7" s="46">
        <f>'СРОКИ'!CT13/'Вводные'!$B$42</f>
        <v/>
      </c>
      <c r="CU7" s="46">
        <f>'СРОКИ'!CU13/'Вводные'!$B$42</f>
        <v/>
      </c>
      <c r="CV7" s="46">
        <f>'СРОКИ'!CV13/'Вводные'!$B$42</f>
        <v/>
      </c>
      <c r="CW7" s="46">
        <f>'СРОКИ'!CW13/'Вводные'!$B$42</f>
        <v/>
      </c>
      <c r="CX7" s="46">
        <f>'СРОКИ'!CX13/'Вводные'!$B$42</f>
        <v/>
      </c>
      <c r="CY7" s="46">
        <f>'СРОКИ'!CY13/'Вводные'!$B$42</f>
        <v/>
      </c>
      <c r="CZ7" s="46">
        <f>'СРОКИ'!CZ13/'Вводные'!$B$42</f>
        <v/>
      </c>
      <c r="DA7" s="46">
        <f>'СРОКИ'!DA13/'Вводные'!$B$42</f>
        <v/>
      </c>
      <c r="DB7" s="46">
        <f>'СРОКИ'!DB13/'Вводные'!$B$42</f>
        <v/>
      </c>
      <c r="DC7" s="46">
        <f>'СРОКИ'!DC13/'Вводные'!$B$42</f>
        <v/>
      </c>
      <c r="DD7" s="46">
        <f>'СРОКИ'!DD13/'Вводные'!$B$42</f>
        <v/>
      </c>
      <c r="DE7" s="46">
        <f>'СРОКИ'!DE13/'Вводные'!$B$42</f>
        <v/>
      </c>
      <c r="DF7" s="46">
        <f>'СРОКИ'!DF13/'Вводные'!$B$42</f>
        <v/>
      </c>
      <c r="DG7" s="46">
        <f>'СРОКИ'!DG13/'Вводные'!$B$42</f>
        <v/>
      </c>
      <c r="DH7" s="46">
        <f>'СРОКИ'!DH13/'Вводные'!$B$42</f>
        <v/>
      </c>
      <c r="DI7" s="46">
        <f>'СРОКИ'!DI13/'Вводные'!$B$42</f>
        <v/>
      </c>
      <c r="DJ7" s="46">
        <f>'СРОКИ'!DJ13/'Вводные'!$B$42</f>
        <v/>
      </c>
      <c r="DK7" s="46">
        <f>'СРОКИ'!DK13/'Вводные'!$B$42</f>
        <v/>
      </c>
      <c r="DL7" s="46">
        <f>'СРОКИ'!DL13/'Вводные'!$B$42</f>
        <v/>
      </c>
      <c r="DM7" s="46">
        <f>'СРОКИ'!DM13/'Вводные'!$B$42</f>
        <v/>
      </c>
    </row>
    <row r="8">
      <c r="A8" s="42" t="inlineStr">
        <is>
          <t>Выручка</t>
        </is>
      </c>
      <c r="B8" s="40">
        <f>SUM(D8:DM8)</f>
        <v/>
      </c>
      <c r="C8" s="37" t="inlineStr">
        <is>
          <t>млн ₽</t>
        </is>
      </c>
      <c r="D8" s="40">
        <f>('Вводные'!$B$17*'Вводные'!$F$30/1000+'Вводные'!$B$20*'Вводные'!$B$44)*'Продажа'!D6*'Продажа'!D7</f>
        <v/>
      </c>
      <c r="E8" s="40">
        <f>('Вводные'!$B$17*'Вводные'!$F$30/1000+'Вводные'!$B$20*'Вводные'!$B$44)*'Продажа'!E6*'Продажа'!E7</f>
        <v/>
      </c>
      <c r="F8" s="40">
        <f>('Вводные'!$B$17*'Вводные'!$F$30/1000+'Вводные'!$B$20*'Вводные'!$B$44)*'Продажа'!F6*'Продажа'!F7</f>
        <v/>
      </c>
      <c r="G8" s="40">
        <f>('Вводные'!$B$17*'Вводные'!$F$30/1000+'Вводные'!$B$20*'Вводные'!$B$44)*'Продажа'!G6*'Продажа'!G7</f>
        <v/>
      </c>
      <c r="H8" s="40">
        <f>('Вводные'!$B$17*'Вводные'!$F$30/1000+'Вводные'!$B$20*'Вводные'!$B$44)*'Продажа'!H6*'Продажа'!H7</f>
        <v/>
      </c>
      <c r="I8" s="40">
        <f>('Вводные'!$B$17*'Вводные'!$F$30/1000+'Вводные'!$B$20*'Вводные'!$B$44)*'Продажа'!I6*'Продажа'!I7</f>
        <v/>
      </c>
      <c r="J8" s="40">
        <f>('Вводные'!$B$17*'Вводные'!$F$30/1000+'Вводные'!$B$20*'Вводные'!$B$44)*'Продажа'!J6*'Продажа'!J7</f>
        <v/>
      </c>
      <c r="K8" s="40">
        <f>('Вводные'!$B$17*'Вводные'!$F$30/1000+'Вводные'!$B$20*'Вводные'!$B$44)*'Продажа'!K6*'Продажа'!K7</f>
        <v/>
      </c>
      <c r="L8" s="40">
        <f>('Вводные'!$B$17*'Вводные'!$F$30/1000+'Вводные'!$B$20*'Вводные'!$B$44)*'Продажа'!L6*'Продажа'!L7</f>
        <v/>
      </c>
      <c r="M8" s="40">
        <f>('Вводные'!$B$17*'Вводные'!$F$30/1000+'Вводные'!$B$20*'Вводные'!$B$44)*'Продажа'!M6*'Продажа'!M7</f>
        <v/>
      </c>
      <c r="N8" s="40">
        <f>('Вводные'!$B$17*'Вводные'!$F$30/1000+'Вводные'!$B$20*'Вводные'!$B$44)*'Продажа'!N6*'Продажа'!N7</f>
        <v/>
      </c>
      <c r="O8" s="40">
        <f>('Вводные'!$B$17*'Вводные'!$F$30/1000+'Вводные'!$B$20*'Вводные'!$B$44)*'Продажа'!O6*'Продажа'!O7</f>
        <v/>
      </c>
      <c r="P8" s="40">
        <f>('Вводные'!$B$17*'Вводные'!$F$30/1000+'Вводные'!$B$20*'Вводные'!$B$44)*'Продажа'!P6*'Продажа'!P7</f>
        <v/>
      </c>
      <c r="Q8" s="40">
        <f>('Вводные'!$B$17*'Вводные'!$F$30/1000+'Вводные'!$B$20*'Вводные'!$B$44)*'Продажа'!Q6*'Продажа'!Q7</f>
        <v/>
      </c>
      <c r="R8" s="40">
        <f>('Вводные'!$B$17*'Вводные'!$F$30/1000+'Вводные'!$B$20*'Вводные'!$B$44)*'Продажа'!R6*'Продажа'!R7</f>
        <v/>
      </c>
      <c r="S8" s="40">
        <f>('Вводные'!$B$17*'Вводные'!$F$30/1000+'Вводные'!$B$20*'Вводные'!$B$44)*'Продажа'!S6*'Продажа'!S7</f>
        <v/>
      </c>
      <c r="T8" s="40">
        <f>('Вводные'!$B$17*'Вводные'!$F$30/1000+'Вводные'!$B$20*'Вводные'!$B$44)*'Продажа'!T6*'Продажа'!T7</f>
        <v/>
      </c>
      <c r="U8" s="40">
        <f>('Вводные'!$B$17*'Вводные'!$F$30/1000+'Вводные'!$B$20*'Вводные'!$B$44)*'Продажа'!U6*'Продажа'!U7</f>
        <v/>
      </c>
      <c r="V8" s="40">
        <f>('Вводные'!$B$17*'Вводные'!$F$30/1000+'Вводные'!$B$20*'Вводные'!$B$44)*'Продажа'!V6*'Продажа'!V7</f>
        <v/>
      </c>
      <c r="W8" s="40">
        <f>('Вводные'!$B$17*'Вводные'!$F$30/1000+'Вводные'!$B$20*'Вводные'!$B$44)*'Продажа'!W6*'Продажа'!W7</f>
        <v/>
      </c>
      <c r="X8" s="40">
        <f>('Вводные'!$B$17*'Вводные'!$F$30/1000+'Вводные'!$B$20*'Вводные'!$B$44)*'Продажа'!X6*'Продажа'!X7</f>
        <v/>
      </c>
      <c r="Y8" s="40">
        <f>('Вводные'!$B$17*'Вводные'!$F$30/1000+'Вводные'!$B$20*'Вводные'!$B$44)*'Продажа'!Y6*'Продажа'!Y7</f>
        <v/>
      </c>
      <c r="Z8" s="40">
        <f>('Вводные'!$B$17*'Вводные'!$F$30/1000+'Вводные'!$B$20*'Вводные'!$B$44)*'Продажа'!Z6*'Продажа'!Z7</f>
        <v/>
      </c>
      <c r="AA8" s="40">
        <f>('Вводные'!$B$17*'Вводные'!$F$30/1000+'Вводные'!$B$20*'Вводные'!$B$44)*'Продажа'!AA6*'Продажа'!AA7</f>
        <v/>
      </c>
      <c r="AB8" s="40">
        <f>('Вводные'!$B$17*'Вводные'!$F$30/1000+'Вводные'!$B$20*'Вводные'!$B$44)*'Продажа'!AB6*'Продажа'!AB7</f>
        <v/>
      </c>
      <c r="AC8" s="40">
        <f>('Вводные'!$B$17*'Вводные'!$F$30/1000+'Вводные'!$B$20*'Вводные'!$B$44)*'Продажа'!AC6*'Продажа'!AC7</f>
        <v/>
      </c>
      <c r="AD8" s="40">
        <f>('Вводные'!$B$17*'Вводные'!$F$30/1000+'Вводные'!$B$20*'Вводные'!$B$44)*'Продажа'!AD6*'Продажа'!AD7</f>
        <v/>
      </c>
      <c r="AE8" s="40">
        <f>('Вводные'!$B$17*'Вводные'!$F$30/1000+'Вводные'!$B$20*'Вводные'!$B$44)*'Продажа'!AE6*'Продажа'!AE7</f>
        <v/>
      </c>
      <c r="AF8" s="40">
        <f>('Вводные'!$B$17*'Вводные'!$F$30/1000+'Вводные'!$B$20*'Вводные'!$B$44)*'Продажа'!AF6*'Продажа'!AF7</f>
        <v/>
      </c>
      <c r="AG8" s="40">
        <f>('Вводные'!$B$17*'Вводные'!$F$30/1000+'Вводные'!$B$20*'Вводные'!$B$44)*'Продажа'!AG6*'Продажа'!AG7</f>
        <v/>
      </c>
      <c r="AH8" s="40">
        <f>('Вводные'!$B$17*'Вводные'!$F$30/1000+'Вводные'!$B$20*'Вводные'!$B$44)*'Продажа'!AH6*'Продажа'!AH7</f>
        <v/>
      </c>
      <c r="AI8" s="40">
        <f>('Вводные'!$B$17*'Вводные'!$F$30/1000+'Вводные'!$B$20*'Вводные'!$B$44)*'Продажа'!AI6*'Продажа'!AI7</f>
        <v/>
      </c>
      <c r="AJ8" s="40">
        <f>('Вводные'!$B$17*'Вводные'!$F$30/1000+'Вводные'!$B$20*'Вводные'!$B$44)*'Продажа'!AJ6*'Продажа'!AJ7</f>
        <v/>
      </c>
      <c r="AK8" s="40">
        <f>('Вводные'!$B$17*'Вводные'!$F$30/1000+'Вводные'!$B$20*'Вводные'!$B$44)*'Продажа'!AK6*'Продажа'!AK7</f>
        <v/>
      </c>
      <c r="AL8" s="40">
        <f>('Вводные'!$B$17*'Вводные'!$F$30/1000+'Вводные'!$B$20*'Вводные'!$B$44)*'Продажа'!AL6*'Продажа'!AL7</f>
        <v/>
      </c>
      <c r="AM8" s="40">
        <f>('Вводные'!$B$17*'Вводные'!$F$30/1000+'Вводные'!$B$20*'Вводные'!$B$44)*'Продажа'!AM6*'Продажа'!AM7</f>
        <v/>
      </c>
      <c r="AN8" s="40">
        <f>('Вводные'!$B$17*'Вводные'!$F$30/1000+'Вводные'!$B$20*'Вводные'!$B$44)*'Продажа'!AN6*'Продажа'!AN7</f>
        <v/>
      </c>
      <c r="AO8" s="40">
        <f>('Вводные'!$B$17*'Вводные'!$F$30/1000+'Вводные'!$B$20*'Вводные'!$B$44)*'Продажа'!AO6*'Продажа'!AO7</f>
        <v/>
      </c>
      <c r="AP8" s="40">
        <f>('Вводные'!$B$17*'Вводные'!$F$30/1000+'Вводные'!$B$20*'Вводные'!$B$44)*'Продажа'!AP6*'Продажа'!AP7</f>
        <v/>
      </c>
      <c r="AQ8" s="40">
        <f>('Вводные'!$B$17*'Вводные'!$F$30/1000+'Вводные'!$B$20*'Вводные'!$B$44)*'Продажа'!AQ6*'Продажа'!AQ7</f>
        <v/>
      </c>
      <c r="AR8" s="40">
        <f>('Вводные'!$B$17*'Вводные'!$F$30/1000+'Вводные'!$B$20*'Вводные'!$B$44)*'Продажа'!AR6*'Продажа'!AR7</f>
        <v/>
      </c>
      <c r="AS8" s="40">
        <f>('Вводные'!$B$17*'Вводные'!$F$30/1000+'Вводные'!$B$20*'Вводные'!$B$44)*'Продажа'!AS6*'Продажа'!AS7</f>
        <v/>
      </c>
      <c r="AT8" s="40">
        <f>('Вводные'!$B$17*'Вводные'!$F$30/1000+'Вводные'!$B$20*'Вводные'!$B$44)*'Продажа'!AT6*'Продажа'!AT7</f>
        <v/>
      </c>
      <c r="AU8" s="40">
        <f>('Вводные'!$B$17*'Вводные'!$F$30/1000+'Вводные'!$B$20*'Вводные'!$B$44)*'Продажа'!AU6*'Продажа'!AU7</f>
        <v/>
      </c>
      <c r="AV8" s="40">
        <f>('Вводные'!$B$17*'Вводные'!$F$30/1000+'Вводные'!$B$20*'Вводные'!$B$44)*'Продажа'!AV6*'Продажа'!AV7</f>
        <v/>
      </c>
      <c r="AW8" s="40">
        <f>('Вводные'!$B$17*'Вводные'!$F$30/1000+'Вводные'!$B$20*'Вводные'!$B$44)*'Продажа'!AW6*'Продажа'!AW7</f>
        <v/>
      </c>
      <c r="AX8" s="40">
        <f>('Вводные'!$B$17*'Вводные'!$F$30/1000+'Вводные'!$B$20*'Вводные'!$B$44)*'Продажа'!AX6*'Продажа'!AX7</f>
        <v/>
      </c>
      <c r="AY8" s="40">
        <f>('Вводные'!$B$17*'Вводные'!$F$30/1000+'Вводные'!$B$20*'Вводные'!$B$44)*'Продажа'!AY6*'Продажа'!AY7</f>
        <v/>
      </c>
      <c r="AZ8" s="40">
        <f>('Вводные'!$B$17*'Вводные'!$F$30/1000+'Вводные'!$B$20*'Вводные'!$B$44)*'Продажа'!AZ6*'Продажа'!AZ7</f>
        <v/>
      </c>
      <c r="BA8" s="40">
        <f>('Вводные'!$B$17*'Вводные'!$F$30/1000+'Вводные'!$B$20*'Вводные'!$B$44)*'Продажа'!BA6*'Продажа'!BA7</f>
        <v/>
      </c>
      <c r="BB8" s="40">
        <f>('Вводные'!$B$17*'Вводные'!$F$30/1000+'Вводные'!$B$20*'Вводные'!$B$44)*'Продажа'!BB6*'Продажа'!BB7</f>
        <v/>
      </c>
      <c r="BC8" s="40">
        <f>('Вводные'!$B$17*'Вводные'!$F$30/1000+'Вводные'!$B$20*'Вводные'!$B$44)*'Продажа'!BC6*'Продажа'!BC7</f>
        <v/>
      </c>
      <c r="BD8" s="40">
        <f>('Вводные'!$B$17*'Вводные'!$F$30/1000+'Вводные'!$B$20*'Вводные'!$B$44)*'Продажа'!BD6*'Продажа'!BD7</f>
        <v/>
      </c>
      <c r="BE8" s="40">
        <f>('Вводные'!$B$17*'Вводные'!$F$30/1000+'Вводные'!$B$20*'Вводные'!$B$44)*'Продажа'!BE6*'Продажа'!BE7</f>
        <v/>
      </c>
      <c r="BF8" s="40">
        <f>('Вводные'!$B$17*'Вводные'!$F$30/1000+'Вводные'!$B$20*'Вводные'!$B$44)*'Продажа'!BF6*'Продажа'!BF7</f>
        <v/>
      </c>
      <c r="BG8" s="40">
        <f>('Вводные'!$B$17*'Вводные'!$F$30/1000+'Вводные'!$B$20*'Вводные'!$B$44)*'Продажа'!BG6*'Продажа'!BG7</f>
        <v/>
      </c>
      <c r="BH8" s="40">
        <f>('Вводные'!$B$17*'Вводные'!$F$30/1000+'Вводные'!$B$20*'Вводные'!$B$44)*'Продажа'!BH6*'Продажа'!BH7</f>
        <v/>
      </c>
      <c r="BI8" s="40">
        <f>('Вводные'!$B$17*'Вводные'!$F$30/1000+'Вводные'!$B$20*'Вводные'!$B$44)*'Продажа'!BI6*'Продажа'!BI7</f>
        <v/>
      </c>
      <c r="BJ8" s="40">
        <f>('Вводные'!$B$17*'Вводные'!$F$30/1000+'Вводные'!$B$20*'Вводные'!$B$44)*'Продажа'!BJ6*'Продажа'!BJ7</f>
        <v/>
      </c>
      <c r="BK8" s="40">
        <f>('Вводные'!$B$17*'Вводные'!$F$30/1000+'Вводные'!$B$20*'Вводные'!$B$44)*'Продажа'!BK6*'Продажа'!BK7</f>
        <v/>
      </c>
      <c r="BL8" s="40">
        <f>('Вводные'!$B$17*'Вводные'!$F$30/1000+'Вводные'!$B$20*'Вводные'!$B$44)*'Продажа'!BL6*'Продажа'!BL7</f>
        <v/>
      </c>
      <c r="BM8" s="40">
        <f>('Вводные'!$B$17*'Вводные'!$F$30/1000+'Вводные'!$B$20*'Вводные'!$B$44)*'Продажа'!BM6*'Продажа'!BM7</f>
        <v/>
      </c>
      <c r="BN8" s="40">
        <f>('Вводные'!$B$17*'Вводные'!$F$30/1000+'Вводные'!$B$20*'Вводные'!$B$44)*'Продажа'!BN6*'Продажа'!BN7</f>
        <v/>
      </c>
      <c r="BO8" s="40">
        <f>('Вводные'!$B$17*'Вводные'!$F$30/1000+'Вводные'!$B$20*'Вводные'!$B$44)*'Продажа'!BO6*'Продажа'!BO7</f>
        <v/>
      </c>
      <c r="BP8" s="40">
        <f>('Вводные'!$B$17*'Вводные'!$F$30/1000+'Вводные'!$B$20*'Вводные'!$B$44)*'Продажа'!BP6*'Продажа'!BP7</f>
        <v/>
      </c>
      <c r="BQ8" s="40">
        <f>('Вводные'!$B$17*'Вводные'!$F$30/1000+'Вводные'!$B$20*'Вводные'!$B$44)*'Продажа'!BQ6*'Продажа'!BQ7</f>
        <v/>
      </c>
      <c r="BR8" s="40">
        <f>('Вводные'!$B$17*'Вводные'!$F$30/1000+'Вводные'!$B$20*'Вводные'!$B$44)*'Продажа'!BR6*'Продажа'!BR7</f>
        <v/>
      </c>
      <c r="BS8" s="40">
        <f>('Вводные'!$B$17*'Вводные'!$F$30/1000+'Вводные'!$B$20*'Вводные'!$B$44)*'Продажа'!BS6*'Продажа'!BS7</f>
        <v/>
      </c>
      <c r="BT8" s="40">
        <f>('Вводные'!$B$17*'Вводные'!$F$30/1000+'Вводные'!$B$20*'Вводные'!$B$44)*'Продажа'!BT6*'Продажа'!BT7</f>
        <v/>
      </c>
      <c r="BU8" s="40">
        <f>('Вводные'!$B$17*'Вводные'!$F$30/1000+'Вводные'!$B$20*'Вводные'!$B$44)*'Продажа'!BU6*'Продажа'!BU7</f>
        <v/>
      </c>
      <c r="BV8" s="40">
        <f>('Вводные'!$B$17*'Вводные'!$F$30/1000+'Вводные'!$B$20*'Вводные'!$B$44)*'Продажа'!BV6*'Продажа'!BV7</f>
        <v/>
      </c>
      <c r="BW8" s="40">
        <f>('Вводные'!$B$17*'Вводные'!$F$30/1000+'Вводные'!$B$20*'Вводные'!$B$44)*'Продажа'!BW6*'Продажа'!BW7</f>
        <v/>
      </c>
      <c r="BX8" s="40">
        <f>('Вводные'!$B$17*'Вводные'!$F$30/1000+'Вводные'!$B$20*'Вводные'!$B$44)*'Продажа'!BX6*'Продажа'!BX7</f>
        <v/>
      </c>
      <c r="BY8" s="40">
        <f>('Вводные'!$B$17*'Вводные'!$F$30/1000+'Вводные'!$B$20*'Вводные'!$B$44)*'Продажа'!BY6*'Продажа'!BY7</f>
        <v/>
      </c>
      <c r="BZ8" s="40">
        <f>('Вводные'!$B$17*'Вводные'!$F$30/1000+'Вводные'!$B$20*'Вводные'!$B$44)*'Продажа'!BZ6*'Продажа'!BZ7</f>
        <v/>
      </c>
      <c r="CA8" s="40">
        <f>('Вводные'!$B$17*'Вводные'!$F$30/1000+'Вводные'!$B$20*'Вводные'!$B$44)*'Продажа'!CA6*'Продажа'!CA7</f>
        <v/>
      </c>
      <c r="CB8" s="40">
        <f>('Вводные'!$B$17*'Вводные'!$F$30/1000+'Вводные'!$B$20*'Вводные'!$B$44)*'Продажа'!CB6*'Продажа'!CB7</f>
        <v/>
      </c>
      <c r="CC8" s="40">
        <f>('Вводные'!$B$17*'Вводные'!$F$30/1000+'Вводные'!$B$20*'Вводные'!$B$44)*'Продажа'!CC6*'Продажа'!CC7</f>
        <v/>
      </c>
      <c r="CD8" s="40">
        <f>('Вводные'!$B$17*'Вводные'!$F$30/1000+'Вводные'!$B$20*'Вводные'!$B$44)*'Продажа'!CD6*'Продажа'!CD7</f>
        <v/>
      </c>
      <c r="CE8" s="40">
        <f>('Вводные'!$B$17*'Вводные'!$F$30/1000+'Вводные'!$B$20*'Вводные'!$B$44)*'Продажа'!CE6*'Продажа'!CE7</f>
        <v/>
      </c>
      <c r="CF8" s="40">
        <f>('Вводные'!$B$17*'Вводные'!$F$30/1000+'Вводные'!$B$20*'Вводные'!$B$44)*'Продажа'!CF6*'Продажа'!CF7</f>
        <v/>
      </c>
      <c r="CG8" s="40">
        <f>('Вводные'!$B$17*'Вводные'!$F$30/1000+'Вводные'!$B$20*'Вводные'!$B$44)*'Продажа'!CG6*'Продажа'!CG7</f>
        <v/>
      </c>
      <c r="CH8" s="40">
        <f>('Вводные'!$B$17*'Вводные'!$F$30/1000+'Вводные'!$B$20*'Вводные'!$B$44)*'Продажа'!CH6*'Продажа'!CH7</f>
        <v/>
      </c>
      <c r="CI8" s="40">
        <f>('Вводные'!$B$17*'Вводные'!$F$30/1000+'Вводные'!$B$20*'Вводные'!$B$44)*'Продажа'!CI6*'Продажа'!CI7</f>
        <v/>
      </c>
      <c r="CJ8" s="40">
        <f>('Вводные'!$B$17*'Вводные'!$F$30/1000+'Вводные'!$B$20*'Вводные'!$B$44)*'Продажа'!CJ6*'Продажа'!CJ7</f>
        <v/>
      </c>
      <c r="CK8" s="40">
        <f>('Вводные'!$B$17*'Вводные'!$F$30/1000+'Вводные'!$B$20*'Вводные'!$B$44)*'Продажа'!CK6*'Продажа'!CK7</f>
        <v/>
      </c>
      <c r="CL8" s="40">
        <f>('Вводные'!$B$17*'Вводные'!$F$30/1000+'Вводные'!$B$20*'Вводные'!$B$44)*'Продажа'!CL6*'Продажа'!CL7</f>
        <v/>
      </c>
      <c r="CM8" s="40">
        <f>('Вводные'!$B$17*'Вводные'!$F$30/1000+'Вводные'!$B$20*'Вводные'!$B$44)*'Продажа'!CM6*'Продажа'!CM7</f>
        <v/>
      </c>
      <c r="CN8" s="40">
        <f>('Вводные'!$B$17*'Вводные'!$F$30/1000+'Вводные'!$B$20*'Вводные'!$B$44)*'Продажа'!CN6*'Продажа'!CN7</f>
        <v/>
      </c>
      <c r="CO8" s="40">
        <f>('Вводные'!$B$17*'Вводные'!$F$30/1000+'Вводные'!$B$20*'Вводные'!$B$44)*'Продажа'!CO6*'Продажа'!CO7</f>
        <v/>
      </c>
      <c r="CP8" s="40">
        <f>('Вводные'!$B$17*'Вводные'!$F$30/1000+'Вводные'!$B$20*'Вводные'!$B$44)*'Продажа'!CP6*'Продажа'!CP7</f>
        <v/>
      </c>
      <c r="CQ8" s="40">
        <f>('Вводные'!$B$17*'Вводные'!$F$30/1000+'Вводные'!$B$20*'Вводные'!$B$44)*'Продажа'!CQ6*'Продажа'!CQ7</f>
        <v/>
      </c>
      <c r="CR8" s="40">
        <f>('Вводные'!$B$17*'Вводные'!$F$30/1000+'Вводные'!$B$20*'Вводные'!$B$44)*'Продажа'!CR6*'Продажа'!CR7</f>
        <v/>
      </c>
      <c r="CS8" s="40">
        <f>('Вводные'!$B$17*'Вводные'!$F$30/1000+'Вводные'!$B$20*'Вводные'!$B$44)*'Продажа'!CS6*'Продажа'!CS7</f>
        <v/>
      </c>
      <c r="CT8" s="40">
        <f>('Вводные'!$B$17*'Вводные'!$F$30/1000+'Вводные'!$B$20*'Вводные'!$B$44)*'Продажа'!CT6*'Продажа'!CT7</f>
        <v/>
      </c>
      <c r="CU8" s="40">
        <f>('Вводные'!$B$17*'Вводные'!$F$30/1000+'Вводные'!$B$20*'Вводные'!$B$44)*'Продажа'!CU6*'Продажа'!CU7</f>
        <v/>
      </c>
      <c r="CV8" s="40">
        <f>('Вводные'!$B$17*'Вводные'!$F$30/1000+'Вводные'!$B$20*'Вводные'!$B$44)*'Продажа'!CV6*'Продажа'!CV7</f>
        <v/>
      </c>
      <c r="CW8" s="40">
        <f>('Вводные'!$B$17*'Вводные'!$F$30/1000+'Вводные'!$B$20*'Вводные'!$B$44)*'Продажа'!CW6*'Продажа'!CW7</f>
        <v/>
      </c>
      <c r="CX8" s="40">
        <f>('Вводные'!$B$17*'Вводные'!$F$30/1000+'Вводные'!$B$20*'Вводные'!$B$44)*'Продажа'!CX6*'Продажа'!CX7</f>
        <v/>
      </c>
      <c r="CY8" s="40">
        <f>('Вводные'!$B$17*'Вводные'!$F$30/1000+'Вводные'!$B$20*'Вводные'!$B$44)*'Продажа'!CY6*'Продажа'!CY7</f>
        <v/>
      </c>
      <c r="CZ8" s="40">
        <f>('Вводные'!$B$17*'Вводные'!$F$30/1000+'Вводные'!$B$20*'Вводные'!$B$44)*'Продажа'!CZ6*'Продажа'!CZ7</f>
        <v/>
      </c>
      <c r="DA8" s="40">
        <f>('Вводные'!$B$17*'Вводные'!$F$30/1000+'Вводные'!$B$20*'Вводные'!$B$44)*'Продажа'!DA6*'Продажа'!DA7</f>
        <v/>
      </c>
      <c r="DB8" s="40">
        <f>('Вводные'!$B$17*'Вводные'!$F$30/1000+'Вводные'!$B$20*'Вводные'!$B$44)*'Продажа'!DB6*'Продажа'!DB7</f>
        <v/>
      </c>
      <c r="DC8" s="40">
        <f>('Вводные'!$B$17*'Вводные'!$F$30/1000+'Вводные'!$B$20*'Вводные'!$B$44)*'Продажа'!DC6*'Продажа'!DC7</f>
        <v/>
      </c>
      <c r="DD8" s="40">
        <f>('Вводные'!$B$17*'Вводные'!$F$30/1000+'Вводные'!$B$20*'Вводные'!$B$44)*'Продажа'!DD6*'Продажа'!DD7</f>
        <v/>
      </c>
      <c r="DE8" s="40">
        <f>('Вводные'!$B$17*'Вводные'!$F$30/1000+'Вводные'!$B$20*'Вводные'!$B$44)*'Продажа'!DE6*'Продажа'!DE7</f>
        <v/>
      </c>
      <c r="DF8" s="40">
        <f>('Вводные'!$B$17*'Вводные'!$F$30/1000+'Вводные'!$B$20*'Вводные'!$B$44)*'Продажа'!DF6*'Продажа'!DF7</f>
        <v/>
      </c>
      <c r="DG8" s="40">
        <f>('Вводные'!$B$17*'Вводные'!$F$30/1000+'Вводные'!$B$20*'Вводные'!$B$44)*'Продажа'!DG6*'Продажа'!DG7</f>
        <v/>
      </c>
      <c r="DH8" s="40">
        <f>('Вводные'!$B$17*'Вводные'!$F$30/1000+'Вводные'!$B$20*'Вводные'!$B$44)*'Продажа'!DH6*'Продажа'!DH7</f>
        <v/>
      </c>
      <c r="DI8" s="40">
        <f>('Вводные'!$B$17*'Вводные'!$F$30/1000+'Вводные'!$B$20*'Вводные'!$B$44)*'Продажа'!DI6*'Продажа'!DI7</f>
        <v/>
      </c>
      <c r="DJ8" s="40">
        <f>('Вводные'!$B$17*'Вводные'!$F$30/1000+'Вводные'!$B$20*'Вводные'!$B$44)*'Продажа'!DJ6*'Продажа'!DJ7</f>
        <v/>
      </c>
      <c r="DK8" s="40">
        <f>('Вводные'!$B$17*'Вводные'!$F$30/1000+'Вводные'!$B$20*'Вводные'!$B$44)*'Продажа'!DK6*'Продажа'!DK7</f>
        <v/>
      </c>
      <c r="DL8" s="40">
        <f>('Вводные'!$B$17*'Вводные'!$F$30/1000+'Вводные'!$B$20*'Вводные'!$B$44)*'Продажа'!DL6*'Продажа'!DL7</f>
        <v/>
      </c>
      <c r="DM8" s="40">
        <f>('Вводные'!$B$17*'Вводные'!$F$30/1000+'Вводные'!$B$20*'Вводные'!$B$44)*'Продажа'!DM6*'Продажа'!DM7</f>
        <v/>
      </c>
    </row>
    <row r="9">
      <c r="A9" s="36" t="inlineStr">
        <is>
          <t>Маркетинг и брокеры</t>
        </is>
      </c>
      <c r="B9" s="40">
        <f>SUM(D9:DM9)</f>
        <v/>
      </c>
      <c r="C9" s="37" t="inlineStr">
        <is>
          <t>млн ₽</t>
        </is>
      </c>
      <c r="D9" s="47">
        <f>'Продажа'!D8*'Вводные'!$B$43</f>
        <v/>
      </c>
      <c r="E9" s="47">
        <f>'Продажа'!E8*'Вводные'!$B$43</f>
        <v/>
      </c>
      <c r="F9" s="47">
        <f>'Продажа'!F8*'Вводные'!$B$43</f>
        <v/>
      </c>
      <c r="G9" s="47">
        <f>'Продажа'!G8*'Вводные'!$B$43</f>
        <v/>
      </c>
      <c r="H9" s="47">
        <f>'Продажа'!H8*'Вводные'!$B$43</f>
        <v/>
      </c>
      <c r="I9" s="47">
        <f>'Продажа'!I8*'Вводные'!$B$43</f>
        <v/>
      </c>
      <c r="J9" s="47">
        <f>'Продажа'!J8*'Вводные'!$B$43</f>
        <v/>
      </c>
      <c r="K9" s="47">
        <f>'Продажа'!K8*'Вводные'!$B$43</f>
        <v/>
      </c>
      <c r="L9" s="47">
        <f>'Продажа'!L8*'Вводные'!$B$43</f>
        <v/>
      </c>
      <c r="M9" s="47">
        <f>'Продажа'!M8*'Вводные'!$B$43</f>
        <v/>
      </c>
      <c r="N9" s="47">
        <f>'Продажа'!N8*'Вводные'!$B$43</f>
        <v/>
      </c>
      <c r="O9" s="47">
        <f>'Продажа'!O8*'Вводные'!$B$43</f>
        <v/>
      </c>
      <c r="P9" s="47">
        <f>'Продажа'!P8*'Вводные'!$B$43</f>
        <v/>
      </c>
      <c r="Q9" s="47">
        <f>'Продажа'!Q8*'Вводные'!$B$43</f>
        <v/>
      </c>
      <c r="R9" s="47">
        <f>'Продажа'!R8*'Вводные'!$B$43</f>
        <v/>
      </c>
      <c r="S9" s="47">
        <f>'Продажа'!S8*'Вводные'!$B$43</f>
        <v/>
      </c>
      <c r="T9" s="47">
        <f>'Продажа'!T8*'Вводные'!$B$43</f>
        <v/>
      </c>
      <c r="U9" s="47">
        <f>'Продажа'!U8*'Вводные'!$B$43</f>
        <v/>
      </c>
      <c r="V9" s="47">
        <f>'Продажа'!V8*'Вводные'!$B$43</f>
        <v/>
      </c>
      <c r="W9" s="47">
        <f>'Продажа'!W8*'Вводные'!$B$43</f>
        <v/>
      </c>
      <c r="X9" s="47">
        <f>'Продажа'!X8*'Вводные'!$B$43</f>
        <v/>
      </c>
      <c r="Y9" s="47">
        <f>'Продажа'!Y8*'Вводные'!$B$43</f>
        <v/>
      </c>
      <c r="Z9" s="47">
        <f>'Продажа'!Z8*'Вводные'!$B$43</f>
        <v/>
      </c>
      <c r="AA9" s="47">
        <f>'Продажа'!AA8*'Вводные'!$B$43</f>
        <v/>
      </c>
      <c r="AB9" s="47">
        <f>'Продажа'!AB8*'Вводные'!$B$43</f>
        <v/>
      </c>
      <c r="AC9" s="47">
        <f>'Продажа'!AC8*'Вводные'!$B$43</f>
        <v/>
      </c>
      <c r="AD9" s="47">
        <f>'Продажа'!AD8*'Вводные'!$B$43</f>
        <v/>
      </c>
      <c r="AE9" s="47">
        <f>'Продажа'!AE8*'Вводные'!$B$43</f>
        <v/>
      </c>
      <c r="AF9" s="47">
        <f>'Продажа'!AF8*'Вводные'!$B$43</f>
        <v/>
      </c>
      <c r="AG9" s="47">
        <f>'Продажа'!AG8*'Вводные'!$B$43</f>
        <v/>
      </c>
      <c r="AH9" s="47">
        <f>'Продажа'!AH8*'Вводные'!$B$43</f>
        <v/>
      </c>
      <c r="AI9" s="47">
        <f>'Продажа'!AI8*'Вводные'!$B$43</f>
        <v/>
      </c>
      <c r="AJ9" s="47">
        <f>'Продажа'!AJ8*'Вводные'!$B$43</f>
        <v/>
      </c>
      <c r="AK9" s="47">
        <f>'Продажа'!AK8*'Вводные'!$B$43</f>
        <v/>
      </c>
      <c r="AL9" s="47">
        <f>'Продажа'!AL8*'Вводные'!$B$43</f>
        <v/>
      </c>
      <c r="AM9" s="47">
        <f>'Продажа'!AM8*'Вводные'!$B$43</f>
        <v/>
      </c>
      <c r="AN9" s="47">
        <f>'Продажа'!AN8*'Вводные'!$B$43</f>
        <v/>
      </c>
      <c r="AO9" s="47">
        <f>'Продажа'!AO8*'Вводные'!$B$43</f>
        <v/>
      </c>
      <c r="AP9" s="47">
        <f>'Продажа'!AP8*'Вводные'!$B$43</f>
        <v/>
      </c>
      <c r="AQ9" s="47">
        <f>'Продажа'!AQ8*'Вводные'!$B$43</f>
        <v/>
      </c>
      <c r="AR9" s="47">
        <f>'Продажа'!AR8*'Вводные'!$B$43</f>
        <v/>
      </c>
      <c r="AS9" s="47">
        <f>'Продажа'!AS8*'Вводные'!$B$43</f>
        <v/>
      </c>
      <c r="AT9" s="47">
        <f>'Продажа'!AT8*'Вводные'!$B$43</f>
        <v/>
      </c>
      <c r="AU9" s="47">
        <f>'Продажа'!AU8*'Вводные'!$B$43</f>
        <v/>
      </c>
      <c r="AV9" s="47">
        <f>'Продажа'!AV8*'Вводные'!$B$43</f>
        <v/>
      </c>
      <c r="AW9" s="47">
        <f>'Продажа'!AW8*'Вводные'!$B$43</f>
        <v/>
      </c>
      <c r="AX9" s="47">
        <f>'Продажа'!AX8*'Вводные'!$B$43</f>
        <v/>
      </c>
      <c r="AY9" s="47">
        <f>'Продажа'!AY8*'Вводные'!$B$43</f>
        <v/>
      </c>
      <c r="AZ9" s="47">
        <f>'Продажа'!AZ8*'Вводные'!$B$43</f>
        <v/>
      </c>
      <c r="BA9" s="47">
        <f>'Продажа'!BA8*'Вводные'!$B$43</f>
        <v/>
      </c>
      <c r="BB9" s="47">
        <f>'Продажа'!BB8*'Вводные'!$B$43</f>
        <v/>
      </c>
      <c r="BC9" s="47">
        <f>'Продажа'!BC8*'Вводные'!$B$43</f>
        <v/>
      </c>
      <c r="BD9" s="47">
        <f>'Продажа'!BD8*'Вводные'!$B$43</f>
        <v/>
      </c>
      <c r="BE9" s="47">
        <f>'Продажа'!BE8*'Вводные'!$B$43</f>
        <v/>
      </c>
      <c r="BF9" s="47">
        <f>'Продажа'!BF8*'Вводные'!$B$43</f>
        <v/>
      </c>
      <c r="BG9" s="47">
        <f>'Продажа'!BG8*'Вводные'!$B$43</f>
        <v/>
      </c>
      <c r="BH9" s="47">
        <f>'Продажа'!BH8*'Вводные'!$B$43</f>
        <v/>
      </c>
      <c r="BI9" s="47">
        <f>'Продажа'!BI8*'Вводные'!$B$43</f>
        <v/>
      </c>
      <c r="BJ9" s="47">
        <f>'Продажа'!BJ8*'Вводные'!$B$43</f>
        <v/>
      </c>
      <c r="BK9" s="47">
        <f>'Продажа'!BK8*'Вводные'!$B$43</f>
        <v/>
      </c>
      <c r="BL9" s="47">
        <f>'Продажа'!BL8*'Вводные'!$B$43</f>
        <v/>
      </c>
      <c r="BM9" s="47">
        <f>'Продажа'!BM8*'Вводные'!$B$43</f>
        <v/>
      </c>
      <c r="BN9" s="47">
        <f>'Продажа'!BN8*'Вводные'!$B$43</f>
        <v/>
      </c>
      <c r="BO9" s="47">
        <f>'Продажа'!BO8*'Вводные'!$B$43</f>
        <v/>
      </c>
      <c r="BP9" s="47">
        <f>'Продажа'!BP8*'Вводные'!$B$43</f>
        <v/>
      </c>
      <c r="BQ9" s="47">
        <f>'Продажа'!BQ8*'Вводные'!$B$43</f>
        <v/>
      </c>
      <c r="BR9" s="47">
        <f>'Продажа'!BR8*'Вводные'!$B$43</f>
        <v/>
      </c>
      <c r="BS9" s="47">
        <f>'Продажа'!BS8*'Вводные'!$B$43</f>
        <v/>
      </c>
      <c r="BT9" s="47">
        <f>'Продажа'!BT8*'Вводные'!$B$43</f>
        <v/>
      </c>
      <c r="BU9" s="47">
        <f>'Продажа'!BU8*'Вводные'!$B$43</f>
        <v/>
      </c>
      <c r="BV9" s="47">
        <f>'Продажа'!BV8*'Вводные'!$B$43</f>
        <v/>
      </c>
      <c r="BW9" s="47">
        <f>'Продажа'!BW8*'Вводные'!$B$43</f>
        <v/>
      </c>
      <c r="BX9" s="47">
        <f>'Продажа'!BX8*'Вводные'!$B$43</f>
        <v/>
      </c>
      <c r="BY9" s="47">
        <f>'Продажа'!BY8*'Вводные'!$B$43</f>
        <v/>
      </c>
      <c r="BZ9" s="47">
        <f>'Продажа'!BZ8*'Вводные'!$B$43</f>
        <v/>
      </c>
      <c r="CA9" s="47">
        <f>'Продажа'!CA8*'Вводные'!$B$43</f>
        <v/>
      </c>
      <c r="CB9" s="47">
        <f>'Продажа'!CB8*'Вводные'!$B$43</f>
        <v/>
      </c>
      <c r="CC9" s="47">
        <f>'Продажа'!CC8*'Вводные'!$B$43</f>
        <v/>
      </c>
      <c r="CD9" s="47">
        <f>'Продажа'!CD8*'Вводные'!$B$43</f>
        <v/>
      </c>
      <c r="CE9" s="47">
        <f>'Продажа'!CE8*'Вводные'!$B$43</f>
        <v/>
      </c>
      <c r="CF9" s="47">
        <f>'Продажа'!CF8*'Вводные'!$B$43</f>
        <v/>
      </c>
      <c r="CG9" s="47">
        <f>'Продажа'!CG8*'Вводные'!$B$43</f>
        <v/>
      </c>
      <c r="CH9" s="47">
        <f>'Продажа'!CH8*'Вводные'!$B$43</f>
        <v/>
      </c>
      <c r="CI9" s="47">
        <f>'Продажа'!CI8*'Вводные'!$B$43</f>
        <v/>
      </c>
      <c r="CJ9" s="47">
        <f>'Продажа'!CJ8*'Вводные'!$B$43</f>
        <v/>
      </c>
      <c r="CK9" s="47">
        <f>'Продажа'!CK8*'Вводные'!$B$43</f>
        <v/>
      </c>
      <c r="CL9" s="47">
        <f>'Продажа'!CL8*'Вводные'!$B$43</f>
        <v/>
      </c>
      <c r="CM9" s="47">
        <f>'Продажа'!CM8*'Вводные'!$B$43</f>
        <v/>
      </c>
      <c r="CN9" s="47">
        <f>'Продажа'!CN8*'Вводные'!$B$43</f>
        <v/>
      </c>
      <c r="CO9" s="47">
        <f>'Продажа'!CO8*'Вводные'!$B$43</f>
        <v/>
      </c>
      <c r="CP9" s="47">
        <f>'Продажа'!CP8*'Вводные'!$B$43</f>
        <v/>
      </c>
      <c r="CQ9" s="47">
        <f>'Продажа'!CQ8*'Вводные'!$B$43</f>
        <v/>
      </c>
      <c r="CR9" s="47">
        <f>'Продажа'!CR8*'Вводные'!$B$43</f>
        <v/>
      </c>
      <c r="CS9" s="47">
        <f>'Продажа'!CS8*'Вводные'!$B$43</f>
        <v/>
      </c>
      <c r="CT9" s="47">
        <f>'Продажа'!CT8*'Вводные'!$B$43</f>
        <v/>
      </c>
      <c r="CU9" s="47">
        <f>'Продажа'!CU8*'Вводные'!$B$43</f>
        <v/>
      </c>
      <c r="CV9" s="47">
        <f>'Продажа'!CV8*'Вводные'!$B$43</f>
        <v/>
      </c>
      <c r="CW9" s="47">
        <f>'Продажа'!CW8*'Вводные'!$B$43</f>
        <v/>
      </c>
      <c r="CX9" s="47">
        <f>'Продажа'!CX8*'Вводные'!$B$43</f>
        <v/>
      </c>
      <c r="CY9" s="47">
        <f>'Продажа'!CY8*'Вводные'!$B$43</f>
        <v/>
      </c>
      <c r="CZ9" s="47">
        <f>'Продажа'!CZ8*'Вводные'!$B$43</f>
        <v/>
      </c>
      <c r="DA9" s="47">
        <f>'Продажа'!DA8*'Вводные'!$B$43</f>
        <v/>
      </c>
      <c r="DB9" s="47">
        <f>'Продажа'!DB8*'Вводные'!$B$43</f>
        <v/>
      </c>
      <c r="DC9" s="47">
        <f>'Продажа'!DC8*'Вводные'!$B$43</f>
        <v/>
      </c>
      <c r="DD9" s="47">
        <f>'Продажа'!DD8*'Вводные'!$B$43</f>
        <v/>
      </c>
      <c r="DE9" s="47">
        <f>'Продажа'!DE8*'Вводные'!$B$43</f>
        <v/>
      </c>
      <c r="DF9" s="47">
        <f>'Продажа'!DF8*'Вводные'!$B$43</f>
        <v/>
      </c>
      <c r="DG9" s="47">
        <f>'Продажа'!DG8*'Вводные'!$B$43</f>
        <v/>
      </c>
      <c r="DH9" s="47">
        <f>'Продажа'!DH8*'Вводные'!$B$43</f>
        <v/>
      </c>
      <c r="DI9" s="47">
        <f>'Продажа'!DI8*'Вводные'!$B$43</f>
        <v/>
      </c>
      <c r="DJ9" s="47">
        <f>'Продажа'!DJ8*'Вводные'!$B$43</f>
        <v/>
      </c>
      <c r="DK9" s="47">
        <f>'Продажа'!DK8*'Вводные'!$B$43</f>
        <v/>
      </c>
      <c r="DL9" s="47">
        <f>'Продажа'!DL8*'Вводные'!$B$43</f>
        <v/>
      </c>
      <c r="DM9" s="47">
        <f>'Продажа'!DM8*'Вводные'!$B$43</f>
        <v/>
      </c>
    </row>
    <row r="10">
      <c r="A10" s="36" t="inlineStr">
        <is>
          <t>Не продано на начало месяца</t>
        </is>
      </c>
      <c r="B10" s="10" t="n"/>
      <c r="C10" s="37" t="inlineStr">
        <is>
          <t>доля</t>
        </is>
      </c>
      <c r="D10" s="46">
        <f>1</f>
        <v/>
      </c>
      <c r="E10" s="46">
        <f>IF('СРОКИ'!E10&lt;'СРОКИ'!$B$6,1,'Продажа'!D10-'Продажа'!D7*IF('СРОКИ'!E10-1&gt;='СРОКИ'!$B$6,1,0))</f>
        <v/>
      </c>
      <c r="F10" s="46">
        <f>IF('СРОКИ'!F10&lt;'СРОКИ'!$B$6,1,'Продажа'!E10-'Продажа'!E7*IF('СРОКИ'!F10-1&gt;='СРОКИ'!$B$6,1,0))</f>
        <v/>
      </c>
      <c r="G10" s="46">
        <f>IF('СРОКИ'!G10&lt;'СРОКИ'!$B$6,1,'Продажа'!F10-'Продажа'!F7*IF('СРОКИ'!G10-1&gt;='СРОКИ'!$B$6,1,0))</f>
        <v/>
      </c>
      <c r="H10" s="46">
        <f>IF('СРОКИ'!H10&lt;'СРОКИ'!$B$6,1,'Продажа'!G10-'Продажа'!G7*IF('СРОКИ'!H10-1&gt;='СРОКИ'!$B$6,1,0))</f>
        <v/>
      </c>
      <c r="I10" s="46">
        <f>IF('СРОКИ'!I10&lt;'СРОКИ'!$B$6,1,'Продажа'!H10-'Продажа'!H7*IF('СРОКИ'!I10-1&gt;='СРОКИ'!$B$6,1,0))</f>
        <v/>
      </c>
      <c r="J10" s="46">
        <f>IF('СРОКИ'!J10&lt;'СРОКИ'!$B$6,1,'Продажа'!I10-'Продажа'!I7*IF('СРОКИ'!J10-1&gt;='СРОКИ'!$B$6,1,0))</f>
        <v/>
      </c>
      <c r="K10" s="46">
        <f>IF('СРОКИ'!K10&lt;'СРОКИ'!$B$6,1,'Продажа'!J10-'Продажа'!J7*IF('СРОКИ'!K10-1&gt;='СРОКИ'!$B$6,1,0))</f>
        <v/>
      </c>
      <c r="L10" s="46">
        <f>IF('СРОКИ'!L10&lt;'СРОКИ'!$B$6,1,'Продажа'!K10-'Продажа'!K7*IF('СРОКИ'!L10-1&gt;='СРОКИ'!$B$6,1,0))</f>
        <v/>
      </c>
      <c r="M10" s="46">
        <f>IF('СРОКИ'!M10&lt;'СРОКИ'!$B$6,1,'Продажа'!L10-'Продажа'!L7*IF('СРОКИ'!M10-1&gt;='СРОКИ'!$B$6,1,0))</f>
        <v/>
      </c>
      <c r="N10" s="46">
        <f>IF('СРОКИ'!N10&lt;'СРОКИ'!$B$6,1,'Продажа'!M10-'Продажа'!M7*IF('СРОКИ'!N10-1&gt;='СРОКИ'!$B$6,1,0))</f>
        <v/>
      </c>
      <c r="O10" s="46">
        <f>IF('СРОКИ'!O10&lt;'СРОКИ'!$B$6,1,'Продажа'!N10-'Продажа'!N7*IF('СРОКИ'!O10-1&gt;='СРОКИ'!$B$6,1,0))</f>
        <v/>
      </c>
      <c r="P10" s="46">
        <f>IF('СРОКИ'!P10&lt;'СРОКИ'!$B$6,1,'Продажа'!O10-'Продажа'!O7*IF('СРОКИ'!P10-1&gt;='СРОКИ'!$B$6,1,0))</f>
        <v/>
      </c>
      <c r="Q10" s="46">
        <f>IF('СРОКИ'!Q10&lt;'СРОКИ'!$B$6,1,'Продажа'!P10-'Продажа'!P7*IF('СРОКИ'!Q10-1&gt;='СРОКИ'!$B$6,1,0))</f>
        <v/>
      </c>
      <c r="R10" s="46">
        <f>IF('СРОКИ'!R10&lt;'СРОКИ'!$B$6,1,'Продажа'!Q10-'Продажа'!Q7*IF('СРОКИ'!R10-1&gt;='СРОКИ'!$B$6,1,0))</f>
        <v/>
      </c>
      <c r="S10" s="46">
        <f>IF('СРОКИ'!S10&lt;'СРОКИ'!$B$6,1,'Продажа'!R10-'Продажа'!R7*IF('СРОКИ'!S10-1&gt;='СРОКИ'!$B$6,1,0))</f>
        <v/>
      </c>
      <c r="T10" s="46">
        <f>IF('СРОКИ'!T10&lt;'СРОКИ'!$B$6,1,'Продажа'!S10-'Продажа'!S7*IF('СРОКИ'!T10-1&gt;='СРОКИ'!$B$6,1,0))</f>
        <v/>
      </c>
      <c r="U10" s="46">
        <f>IF('СРОКИ'!U10&lt;'СРОКИ'!$B$6,1,'Продажа'!T10-'Продажа'!T7*IF('СРОКИ'!U10-1&gt;='СРОКИ'!$B$6,1,0))</f>
        <v/>
      </c>
      <c r="V10" s="46">
        <f>IF('СРОКИ'!V10&lt;'СРОКИ'!$B$6,1,'Продажа'!U10-'Продажа'!U7*IF('СРОКИ'!V10-1&gt;='СРОКИ'!$B$6,1,0))</f>
        <v/>
      </c>
      <c r="W10" s="46">
        <f>IF('СРОКИ'!W10&lt;'СРОКИ'!$B$6,1,'Продажа'!V10-'Продажа'!V7*IF('СРОКИ'!W10-1&gt;='СРОКИ'!$B$6,1,0))</f>
        <v/>
      </c>
      <c r="X10" s="46">
        <f>IF('СРОКИ'!X10&lt;'СРОКИ'!$B$6,1,'Продажа'!W10-'Продажа'!W7*IF('СРОКИ'!X10-1&gt;='СРОКИ'!$B$6,1,0))</f>
        <v/>
      </c>
      <c r="Y10" s="46">
        <f>IF('СРОКИ'!Y10&lt;'СРОКИ'!$B$6,1,'Продажа'!X10-'Продажа'!X7*IF('СРОКИ'!Y10-1&gt;='СРОКИ'!$B$6,1,0))</f>
        <v/>
      </c>
      <c r="Z10" s="46">
        <f>IF('СРОКИ'!Z10&lt;'СРОКИ'!$B$6,1,'Продажа'!Y10-'Продажа'!Y7*IF('СРОКИ'!Z10-1&gt;='СРОКИ'!$B$6,1,0))</f>
        <v/>
      </c>
      <c r="AA10" s="46">
        <f>IF('СРОКИ'!AA10&lt;'СРОКИ'!$B$6,1,'Продажа'!Z10-'Продажа'!Z7*IF('СРОКИ'!AA10-1&gt;='СРОКИ'!$B$6,1,0))</f>
        <v/>
      </c>
      <c r="AB10" s="46">
        <f>IF('СРОКИ'!AB10&lt;'СРОКИ'!$B$6,1,'Продажа'!AA10-'Продажа'!AA7*IF('СРОКИ'!AB10-1&gt;='СРОКИ'!$B$6,1,0))</f>
        <v/>
      </c>
      <c r="AC10" s="46">
        <f>IF('СРОКИ'!AC10&lt;'СРОКИ'!$B$6,1,'Продажа'!AB10-'Продажа'!AB7*IF('СРОКИ'!AC10-1&gt;='СРОКИ'!$B$6,1,0))</f>
        <v/>
      </c>
      <c r="AD10" s="46">
        <f>IF('СРОКИ'!AD10&lt;'СРОКИ'!$B$6,1,'Продажа'!AC10-'Продажа'!AC7*IF('СРОКИ'!AD10-1&gt;='СРОКИ'!$B$6,1,0))</f>
        <v/>
      </c>
      <c r="AE10" s="46">
        <f>IF('СРОКИ'!AE10&lt;'СРОКИ'!$B$6,1,'Продажа'!AD10-'Продажа'!AD7*IF('СРОКИ'!AE10-1&gt;='СРОКИ'!$B$6,1,0))</f>
        <v/>
      </c>
      <c r="AF10" s="46">
        <f>IF('СРОКИ'!AF10&lt;'СРОКИ'!$B$6,1,'Продажа'!AE10-'Продажа'!AE7*IF('СРОКИ'!AF10-1&gt;='СРОКИ'!$B$6,1,0))</f>
        <v/>
      </c>
      <c r="AG10" s="46">
        <f>IF('СРОКИ'!AG10&lt;'СРОКИ'!$B$6,1,'Продажа'!AF10-'Продажа'!AF7*IF('СРОКИ'!AG10-1&gt;='СРОКИ'!$B$6,1,0))</f>
        <v/>
      </c>
      <c r="AH10" s="46">
        <f>IF('СРОКИ'!AH10&lt;'СРОКИ'!$B$6,1,'Продажа'!AG10-'Продажа'!AG7*IF('СРОКИ'!AH10-1&gt;='СРОКИ'!$B$6,1,0))</f>
        <v/>
      </c>
      <c r="AI10" s="46">
        <f>IF('СРОКИ'!AI10&lt;'СРОКИ'!$B$6,1,'Продажа'!AH10-'Продажа'!AH7*IF('СРОКИ'!AI10-1&gt;='СРОКИ'!$B$6,1,0))</f>
        <v/>
      </c>
      <c r="AJ10" s="46">
        <f>IF('СРОКИ'!AJ10&lt;'СРОКИ'!$B$6,1,'Продажа'!AI10-'Продажа'!AI7*IF('СРОКИ'!AJ10-1&gt;='СРОКИ'!$B$6,1,0))</f>
        <v/>
      </c>
      <c r="AK10" s="46">
        <f>IF('СРОКИ'!AK10&lt;'СРОКИ'!$B$6,1,'Продажа'!AJ10-'Продажа'!AJ7*IF('СРОКИ'!AK10-1&gt;='СРОКИ'!$B$6,1,0))</f>
        <v/>
      </c>
      <c r="AL10" s="46">
        <f>IF('СРОКИ'!AL10&lt;'СРОКИ'!$B$6,1,'Продажа'!AK10-'Продажа'!AK7*IF('СРОКИ'!AL10-1&gt;='СРОКИ'!$B$6,1,0))</f>
        <v/>
      </c>
      <c r="AM10" s="46">
        <f>IF('СРОКИ'!AM10&lt;'СРОКИ'!$B$6,1,'Продажа'!AL10-'Продажа'!AL7*IF('СРОКИ'!AM10-1&gt;='СРОКИ'!$B$6,1,0))</f>
        <v/>
      </c>
      <c r="AN10" s="46">
        <f>IF('СРОКИ'!AN10&lt;'СРОКИ'!$B$6,1,'Продажа'!AM10-'Продажа'!AM7*IF('СРОКИ'!AN10-1&gt;='СРОКИ'!$B$6,1,0))</f>
        <v/>
      </c>
      <c r="AO10" s="46">
        <f>IF('СРОКИ'!AO10&lt;'СРОКИ'!$B$6,1,'Продажа'!AN10-'Продажа'!AN7*IF('СРОКИ'!AO10-1&gt;='СРОКИ'!$B$6,1,0))</f>
        <v/>
      </c>
      <c r="AP10" s="46">
        <f>IF('СРОКИ'!AP10&lt;'СРОКИ'!$B$6,1,'Продажа'!AO10-'Продажа'!AO7*IF('СРОКИ'!AP10-1&gt;='СРОКИ'!$B$6,1,0))</f>
        <v/>
      </c>
      <c r="AQ10" s="46">
        <f>IF('СРОКИ'!AQ10&lt;'СРОКИ'!$B$6,1,'Продажа'!AP10-'Продажа'!AP7*IF('СРОКИ'!AQ10-1&gt;='СРОКИ'!$B$6,1,0))</f>
        <v/>
      </c>
      <c r="AR10" s="46">
        <f>IF('СРОКИ'!AR10&lt;'СРОКИ'!$B$6,1,'Продажа'!AQ10-'Продажа'!AQ7*IF('СРОКИ'!AR10-1&gt;='СРОКИ'!$B$6,1,0))</f>
        <v/>
      </c>
      <c r="AS10" s="46">
        <f>IF('СРОКИ'!AS10&lt;'СРОКИ'!$B$6,1,'Продажа'!AR10-'Продажа'!AR7*IF('СРОКИ'!AS10-1&gt;='СРОКИ'!$B$6,1,0))</f>
        <v/>
      </c>
      <c r="AT10" s="46">
        <f>IF('СРОКИ'!AT10&lt;'СРОКИ'!$B$6,1,'Продажа'!AS10-'Продажа'!AS7*IF('СРОКИ'!AT10-1&gt;='СРОКИ'!$B$6,1,0))</f>
        <v/>
      </c>
      <c r="AU10" s="46">
        <f>IF('СРОКИ'!AU10&lt;'СРОКИ'!$B$6,1,'Продажа'!AT10-'Продажа'!AT7*IF('СРОКИ'!AU10-1&gt;='СРОКИ'!$B$6,1,0))</f>
        <v/>
      </c>
      <c r="AV10" s="46">
        <f>IF('СРОКИ'!AV10&lt;'СРОКИ'!$B$6,1,'Продажа'!AU10-'Продажа'!AU7*IF('СРОКИ'!AV10-1&gt;='СРОКИ'!$B$6,1,0))</f>
        <v/>
      </c>
      <c r="AW10" s="46">
        <f>IF('СРОКИ'!AW10&lt;'СРОКИ'!$B$6,1,'Продажа'!AV10-'Продажа'!AV7*IF('СРОКИ'!AW10-1&gt;='СРОКИ'!$B$6,1,0))</f>
        <v/>
      </c>
      <c r="AX10" s="46">
        <f>IF('СРОКИ'!AX10&lt;'СРОКИ'!$B$6,1,'Продажа'!AW10-'Продажа'!AW7*IF('СРОКИ'!AX10-1&gt;='СРОКИ'!$B$6,1,0))</f>
        <v/>
      </c>
      <c r="AY10" s="46">
        <f>IF('СРОКИ'!AY10&lt;'СРОКИ'!$B$6,1,'Продажа'!AX10-'Продажа'!AX7*IF('СРОКИ'!AY10-1&gt;='СРОКИ'!$B$6,1,0))</f>
        <v/>
      </c>
      <c r="AZ10" s="46">
        <f>IF('СРОКИ'!AZ10&lt;'СРОКИ'!$B$6,1,'Продажа'!AY10-'Продажа'!AY7*IF('СРОКИ'!AZ10-1&gt;='СРОКИ'!$B$6,1,0))</f>
        <v/>
      </c>
      <c r="BA10" s="46">
        <f>IF('СРОКИ'!BA10&lt;'СРОКИ'!$B$6,1,'Продажа'!AZ10-'Продажа'!AZ7*IF('СРОКИ'!BA10-1&gt;='СРОКИ'!$B$6,1,0))</f>
        <v/>
      </c>
      <c r="BB10" s="46">
        <f>IF('СРОКИ'!BB10&lt;'СРОКИ'!$B$6,1,'Продажа'!BA10-'Продажа'!BA7*IF('СРОКИ'!BB10-1&gt;='СРОКИ'!$B$6,1,0))</f>
        <v/>
      </c>
      <c r="BC10" s="46">
        <f>IF('СРОКИ'!BC10&lt;'СРОКИ'!$B$6,1,'Продажа'!BB10-'Продажа'!BB7*IF('СРОКИ'!BC10-1&gt;='СРОКИ'!$B$6,1,0))</f>
        <v/>
      </c>
      <c r="BD10" s="46">
        <f>IF('СРОКИ'!BD10&lt;'СРОКИ'!$B$6,1,'Продажа'!BC10-'Продажа'!BC7*IF('СРОКИ'!BD10-1&gt;='СРОКИ'!$B$6,1,0))</f>
        <v/>
      </c>
      <c r="BE10" s="46">
        <f>IF('СРОКИ'!BE10&lt;'СРОКИ'!$B$6,1,'Продажа'!BD10-'Продажа'!BD7*IF('СРОКИ'!BE10-1&gt;='СРОКИ'!$B$6,1,0))</f>
        <v/>
      </c>
      <c r="BF10" s="46">
        <f>IF('СРОКИ'!BF10&lt;'СРОКИ'!$B$6,1,'Продажа'!BE10-'Продажа'!BE7*IF('СРОКИ'!BF10-1&gt;='СРОКИ'!$B$6,1,0))</f>
        <v/>
      </c>
      <c r="BG10" s="46">
        <f>IF('СРОКИ'!BG10&lt;'СРОКИ'!$B$6,1,'Продажа'!BF10-'Продажа'!BF7*IF('СРОКИ'!BG10-1&gt;='СРОКИ'!$B$6,1,0))</f>
        <v/>
      </c>
      <c r="BH10" s="46">
        <f>IF('СРОКИ'!BH10&lt;'СРОКИ'!$B$6,1,'Продажа'!BG10-'Продажа'!BG7*IF('СРОКИ'!BH10-1&gt;='СРОКИ'!$B$6,1,0))</f>
        <v/>
      </c>
      <c r="BI10" s="46">
        <f>IF('СРОКИ'!BI10&lt;'СРОКИ'!$B$6,1,'Продажа'!BH10-'Продажа'!BH7*IF('СРОКИ'!BI10-1&gt;='СРОКИ'!$B$6,1,0))</f>
        <v/>
      </c>
      <c r="BJ10" s="46">
        <f>IF('СРОКИ'!BJ10&lt;'СРОКИ'!$B$6,1,'Продажа'!BI10-'Продажа'!BI7*IF('СРОКИ'!BJ10-1&gt;='СРОКИ'!$B$6,1,0))</f>
        <v/>
      </c>
      <c r="BK10" s="46">
        <f>IF('СРОКИ'!BK10&lt;'СРОКИ'!$B$6,1,'Продажа'!BJ10-'Продажа'!BJ7*IF('СРОКИ'!BK10-1&gt;='СРОКИ'!$B$6,1,0))</f>
        <v/>
      </c>
      <c r="BL10" s="46">
        <f>IF('СРОКИ'!BL10&lt;'СРОКИ'!$B$6,1,'Продажа'!BK10-'Продажа'!BK7*IF('СРОКИ'!BL10-1&gt;='СРОКИ'!$B$6,1,0))</f>
        <v/>
      </c>
      <c r="BM10" s="46">
        <f>IF('СРОКИ'!BM10&lt;'СРОКИ'!$B$6,1,'Продажа'!BL10-'Продажа'!BL7*IF('СРОКИ'!BM10-1&gt;='СРОКИ'!$B$6,1,0))</f>
        <v/>
      </c>
      <c r="BN10" s="46">
        <f>IF('СРОКИ'!BN10&lt;'СРОКИ'!$B$6,1,'Продажа'!BM10-'Продажа'!BM7*IF('СРОКИ'!BN10-1&gt;='СРОКИ'!$B$6,1,0))</f>
        <v/>
      </c>
      <c r="BO10" s="46">
        <f>IF('СРОКИ'!BO10&lt;'СРОКИ'!$B$6,1,'Продажа'!BN10-'Продажа'!BN7*IF('СРОКИ'!BO10-1&gt;='СРОКИ'!$B$6,1,0))</f>
        <v/>
      </c>
      <c r="BP10" s="46">
        <f>IF('СРОКИ'!BP10&lt;'СРОКИ'!$B$6,1,'Продажа'!BO10-'Продажа'!BO7*IF('СРОКИ'!BP10-1&gt;='СРОКИ'!$B$6,1,0))</f>
        <v/>
      </c>
      <c r="BQ10" s="46">
        <f>IF('СРОКИ'!BQ10&lt;'СРОКИ'!$B$6,1,'Продажа'!BP10-'Продажа'!BP7*IF('СРОКИ'!BQ10-1&gt;='СРОКИ'!$B$6,1,0))</f>
        <v/>
      </c>
      <c r="BR10" s="46">
        <f>IF('СРОКИ'!BR10&lt;'СРОКИ'!$B$6,1,'Продажа'!BQ10-'Продажа'!BQ7*IF('СРОКИ'!BR10-1&gt;='СРОКИ'!$B$6,1,0))</f>
        <v/>
      </c>
      <c r="BS10" s="46">
        <f>IF('СРОКИ'!BS10&lt;'СРОКИ'!$B$6,1,'Продажа'!BR10-'Продажа'!BR7*IF('СРОКИ'!BS10-1&gt;='СРОКИ'!$B$6,1,0))</f>
        <v/>
      </c>
      <c r="BT10" s="46">
        <f>IF('СРОКИ'!BT10&lt;'СРОКИ'!$B$6,1,'Продажа'!BS10-'Продажа'!BS7*IF('СРОКИ'!BT10-1&gt;='СРОКИ'!$B$6,1,0))</f>
        <v/>
      </c>
      <c r="BU10" s="46">
        <f>IF('СРОКИ'!BU10&lt;'СРОКИ'!$B$6,1,'Продажа'!BT10-'Продажа'!BT7*IF('СРОКИ'!BU10-1&gt;='СРОКИ'!$B$6,1,0))</f>
        <v/>
      </c>
      <c r="BV10" s="46">
        <f>IF('СРОКИ'!BV10&lt;'СРОКИ'!$B$6,1,'Продажа'!BU10-'Продажа'!BU7*IF('СРОКИ'!BV10-1&gt;='СРОКИ'!$B$6,1,0))</f>
        <v/>
      </c>
      <c r="BW10" s="46">
        <f>IF('СРОКИ'!BW10&lt;'СРОКИ'!$B$6,1,'Продажа'!BV10-'Продажа'!BV7*IF('СРОКИ'!BW10-1&gt;='СРОКИ'!$B$6,1,0))</f>
        <v/>
      </c>
      <c r="BX10" s="46">
        <f>IF('СРОКИ'!BX10&lt;'СРОКИ'!$B$6,1,'Продажа'!BW10-'Продажа'!BW7*IF('СРОКИ'!BX10-1&gt;='СРОКИ'!$B$6,1,0))</f>
        <v/>
      </c>
      <c r="BY10" s="46">
        <f>IF('СРОКИ'!BY10&lt;'СРОКИ'!$B$6,1,'Продажа'!BX10-'Продажа'!BX7*IF('СРОКИ'!BY10-1&gt;='СРОКИ'!$B$6,1,0))</f>
        <v/>
      </c>
      <c r="BZ10" s="46">
        <f>IF('СРОКИ'!BZ10&lt;'СРОКИ'!$B$6,1,'Продажа'!BY10-'Продажа'!BY7*IF('СРОКИ'!BZ10-1&gt;='СРОКИ'!$B$6,1,0))</f>
        <v/>
      </c>
      <c r="CA10" s="46">
        <f>IF('СРОКИ'!CA10&lt;'СРОКИ'!$B$6,1,'Продажа'!BZ10-'Продажа'!BZ7*IF('СРОКИ'!CA10-1&gt;='СРОКИ'!$B$6,1,0))</f>
        <v/>
      </c>
      <c r="CB10" s="46">
        <f>IF('СРОКИ'!CB10&lt;'СРОКИ'!$B$6,1,'Продажа'!CA10-'Продажа'!CA7*IF('СРОКИ'!CB10-1&gt;='СРОКИ'!$B$6,1,0))</f>
        <v/>
      </c>
      <c r="CC10" s="46">
        <f>IF('СРОКИ'!CC10&lt;'СРОКИ'!$B$6,1,'Продажа'!CB10-'Продажа'!CB7*IF('СРОКИ'!CC10-1&gt;='СРОКИ'!$B$6,1,0))</f>
        <v/>
      </c>
      <c r="CD10" s="46">
        <f>IF('СРОКИ'!CD10&lt;'СРОКИ'!$B$6,1,'Продажа'!CC10-'Продажа'!CC7*IF('СРОКИ'!CD10-1&gt;='СРОКИ'!$B$6,1,0))</f>
        <v/>
      </c>
      <c r="CE10" s="46">
        <f>IF('СРОКИ'!CE10&lt;'СРОКИ'!$B$6,1,'Продажа'!CD10-'Продажа'!CD7*IF('СРОКИ'!CE10-1&gt;='СРОКИ'!$B$6,1,0))</f>
        <v/>
      </c>
      <c r="CF10" s="46">
        <f>IF('СРОКИ'!CF10&lt;'СРОКИ'!$B$6,1,'Продажа'!CE10-'Продажа'!CE7*IF('СРОКИ'!CF10-1&gt;='СРОКИ'!$B$6,1,0))</f>
        <v/>
      </c>
      <c r="CG10" s="46">
        <f>IF('СРОКИ'!CG10&lt;'СРОКИ'!$B$6,1,'Продажа'!CF10-'Продажа'!CF7*IF('СРОКИ'!CG10-1&gt;='СРОКИ'!$B$6,1,0))</f>
        <v/>
      </c>
      <c r="CH10" s="46">
        <f>IF('СРОКИ'!CH10&lt;'СРОКИ'!$B$6,1,'Продажа'!CG10-'Продажа'!CG7*IF('СРОКИ'!CH10-1&gt;='СРОКИ'!$B$6,1,0))</f>
        <v/>
      </c>
      <c r="CI10" s="46">
        <f>IF('СРОКИ'!CI10&lt;'СРОКИ'!$B$6,1,'Продажа'!CH10-'Продажа'!CH7*IF('СРОКИ'!CI10-1&gt;='СРОКИ'!$B$6,1,0))</f>
        <v/>
      </c>
      <c r="CJ10" s="46">
        <f>IF('СРОКИ'!CJ10&lt;'СРОКИ'!$B$6,1,'Продажа'!CI10-'Продажа'!CI7*IF('СРОКИ'!CJ10-1&gt;='СРОКИ'!$B$6,1,0))</f>
        <v/>
      </c>
      <c r="CK10" s="46">
        <f>IF('СРОКИ'!CK10&lt;'СРОКИ'!$B$6,1,'Продажа'!CJ10-'Продажа'!CJ7*IF('СРОКИ'!CK10-1&gt;='СРОКИ'!$B$6,1,0))</f>
        <v/>
      </c>
      <c r="CL10" s="46">
        <f>IF('СРОКИ'!CL10&lt;'СРОКИ'!$B$6,1,'Продажа'!CK10-'Продажа'!CK7*IF('СРОКИ'!CL10-1&gt;='СРОКИ'!$B$6,1,0))</f>
        <v/>
      </c>
      <c r="CM10" s="46">
        <f>IF('СРОКИ'!CM10&lt;'СРОКИ'!$B$6,1,'Продажа'!CL10-'Продажа'!CL7*IF('СРОКИ'!CM10-1&gt;='СРОКИ'!$B$6,1,0))</f>
        <v/>
      </c>
      <c r="CN10" s="46">
        <f>IF('СРОКИ'!CN10&lt;'СРОКИ'!$B$6,1,'Продажа'!CM10-'Продажа'!CM7*IF('СРОКИ'!CN10-1&gt;='СРОКИ'!$B$6,1,0))</f>
        <v/>
      </c>
      <c r="CO10" s="46">
        <f>IF('СРОКИ'!CO10&lt;'СРОКИ'!$B$6,1,'Продажа'!CN10-'Продажа'!CN7*IF('СРОКИ'!CO10-1&gt;='СРОКИ'!$B$6,1,0))</f>
        <v/>
      </c>
      <c r="CP10" s="46">
        <f>IF('СРОКИ'!CP10&lt;'СРОКИ'!$B$6,1,'Продажа'!CO10-'Продажа'!CO7*IF('СРОКИ'!CP10-1&gt;='СРОКИ'!$B$6,1,0))</f>
        <v/>
      </c>
      <c r="CQ10" s="46">
        <f>IF('СРОКИ'!CQ10&lt;'СРОКИ'!$B$6,1,'Продажа'!CP10-'Продажа'!CP7*IF('СРОКИ'!CQ10-1&gt;='СРОКИ'!$B$6,1,0))</f>
        <v/>
      </c>
      <c r="CR10" s="46">
        <f>IF('СРОКИ'!CR10&lt;'СРОКИ'!$B$6,1,'Продажа'!CQ10-'Продажа'!CQ7*IF('СРОКИ'!CR10-1&gt;='СРОКИ'!$B$6,1,0))</f>
        <v/>
      </c>
      <c r="CS10" s="46">
        <f>IF('СРОКИ'!CS10&lt;'СРОКИ'!$B$6,1,'Продажа'!CR10-'Продажа'!CR7*IF('СРОКИ'!CS10-1&gt;='СРОКИ'!$B$6,1,0))</f>
        <v/>
      </c>
      <c r="CT10" s="46">
        <f>IF('СРОКИ'!CT10&lt;'СРОКИ'!$B$6,1,'Продажа'!CS10-'Продажа'!CS7*IF('СРОКИ'!CT10-1&gt;='СРОКИ'!$B$6,1,0))</f>
        <v/>
      </c>
      <c r="CU10" s="46">
        <f>IF('СРОКИ'!CU10&lt;'СРОКИ'!$B$6,1,'Продажа'!CT10-'Продажа'!CT7*IF('СРОКИ'!CU10-1&gt;='СРОКИ'!$B$6,1,0))</f>
        <v/>
      </c>
      <c r="CV10" s="46">
        <f>IF('СРОКИ'!CV10&lt;'СРОКИ'!$B$6,1,'Продажа'!CU10-'Продажа'!CU7*IF('СРОКИ'!CV10-1&gt;='СРОКИ'!$B$6,1,0))</f>
        <v/>
      </c>
      <c r="CW10" s="46">
        <f>IF('СРОКИ'!CW10&lt;'СРОКИ'!$B$6,1,'Продажа'!CV10-'Продажа'!CV7*IF('СРОКИ'!CW10-1&gt;='СРОКИ'!$B$6,1,0))</f>
        <v/>
      </c>
      <c r="CX10" s="46">
        <f>IF('СРОКИ'!CX10&lt;'СРОКИ'!$B$6,1,'Продажа'!CW10-'Продажа'!CW7*IF('СРОКИ'!CX10-1&gt;='СРОКИ'!$B$6,1,0))</f>
        <v/>
      </c>
      <c r="CY10" s="46">
        <f>IF('СРОКИ'!CY10&lt;'СРОКИ'!$B$6,1,'Продажа'!CX10-'Продажа'!CX7*IF('СРОКИ'!CY10-1&gt;='СРОКИ'!$B$6,1,0))</f>
        <v/>
      </c>
      <c r="CZ10" s="46">
        <f>IF('СРОКИ'!CZ10&lt;'СРОКИ'!$B$6,1,'Продажа'!CY10-'Продажа'!CY7*IF('СРОКИ'!CZ10-1&gt;='СРОКИ'!$B$6,1,0))</f>
        <v/>
      </c>
      <c r="DA10" s="46">
        <f>IF('СРОКИ'!DA10&lt;'СРОКИ'!$B$6,1,'Продажа'!CZ10-'Продажа'!CZ7*IF('СРОКИ'!DA10-1&gt;='СРОКИ'!$B$6,1,0))</f>
        <v/>
      </c>
      <c r="DB10" s="46">
        <f>IF('СРОКИ'!DB10&lt;'СРОКИ'!$B$6,1,'Продажа'!DA10-'Продажа'!DA7*IF('СРОКИ'!DB10-1&gt;='СРОКИ'!$B$6,1,0))</f>
        <v/>
      </c>
      <c r="DC10" s="46">
        <f>IF('СРОКИ'!DC10&lt;'СРОКИ'!$B$6,1,'Продажа'!DB10-'Продажа'!DB7*IF('СРОКИ'!DC10-1&gt;='СРОКИ'!$B$6,1,0))</f>
        <v/>
      </c>
      <c r="DD10" s="46">
        <f>IF('СРОКИ'!DD10&lt;'СРОКИ'!$B$6,1,'Продажа'!DC10-'Продажа'!DC7*IF('СРОКИ'!DD10-1&gt;='СРОКИ'!$B$6,1,0))</f>
        <v/>
      </c>
      <c r="DE10" s="46">
        <f>IF('СРОКИ'!DE10&lt;'СРОКИ'!$B$6,1,'Продажа'!DD10-'Продажа'!DD7*IF('СРОКИ'!DE10-1&gt;='СРОКИ'!$B$6,1,0))</f>
        <v/>
      </c>
      <c r="DF10" s="46">
        <f>IF('СРОКИ'!DF10&lt;'СРОКИ'!$B$6,1,'Продажа'!DE10-'Продажа'!DE7*IF('СРОКИ'!DF10-1&gt;='СРОКИ'!$B$6,1,0))</f>
        <v/>
      </c>
      <c r="DG10" s="46">
        <f>IF('СРОКИ'!DG10&lt;'СРОКИ'!$B$6,1,'Продажа'!DF10-'Продажа'!DF7*IF('СРОКИ'!DG10-1&gt;='СРОКИ'!$B$6,1,0))</f>
        <v/>
      </c>
      <c r="DH10" s="46">
        <f>IF('СРОКИ'!DH10&lt;'СРОКИ'!$B$6,1,'Продажа'!DG10-'Продажа'!DG7*IF('СРОКИ'!DH10-1&gt;='СРОКИ'!$B$6,1,0))</f>
        <v/>
      </c>
      <c r="DI10" s="46">
        <f>IF('СРОКИ'!DI10&lt;'СРОКИ'!$B$6,1,'Продажа'!DH10-'Продажа'!DH7*IF('СРОКИ'!DI10-1&gt;='СРОКИ'!$B$6,1,0))</f>
        <v/>
      </c>
      <c r="DJ10" s="46">
        <f>IF('СРОКИ'!DJ10&lt;'СРОКИ'!$B$6,1,'Продажа'!DI10-'Продажа'!DI7*IF('СРОКИ'!DJ10-1&gt;='СРОКИ'!$B$6,1,0))</f>
        <v/>
      </c>
      <c r="DK10" s="46">
        <f>IF('СРОКИ'!DK10&lt;'СРОКИ'!$B$6,1,'Продажа'!DJ10-'Продажа'!DJ7*IF('СРОКИ'!DK10-1&gt;='СРОКИ'!$B$6,1,0))</f>
        <v/>
      </c>
      <c r="DL10" s="46">
        <f>IF('СРОКИ'!DL10&lt;'СРОКИ'!$B$6,1,'Продажа'!DK10-'Продажа'!DK7*IF('СРОКИ'!DL10-1&gt;='СРОКИ'!$B$6,1,0))</f>
        <v/>
      </c>
      <c r="DM10" s="46">
        <f>IF('СРОКИ'!DM10&lt;'СРОКИ'!$B$6,1,'Продажа'!DL10-'Продажа'!DL7*IF('СРОКИ'!DM10-1&gt;='СРОКИ'!$B$6,1,0))</f>
        <v/>
      </c>
    </row>
    <row r="11">
      <c r="A11" s="36" t="inlineStr">
        <is>
          <t>Налог на имущество с непроданной части</t>
        </is>
      </c>
      <c r="B11" s="40">
        <f>SUM(D11:DM11)</f>
        <v/>
      </c>
      <c r="C11" s="37" t="inlineStr">
        <is>
          <t>млн ₽</t>
        </is>
      </c>
      <c r="D11" s="47">
        <f>IF(AND('СРОКИ'!D10&gt;='СРОКИ'!$B$6,'СРОКИ'!D10&lt;='СРОКИ'!$B$7),'CAPEX'!$B$8*'Вводные'!$B$52/12*'Продажа'!D10,0)</f>
        <v/>
      </c>
      <c r="E11" s="47">
        <f>IF(AND('СРОКИ'!E10&gt;='СРОКИ'!$B$6,'СРОКИ'!E10&lt;='СРОКИ'!$B$7),'CAPEX'!$B$8*'Вводные'!$B$52/12*'Продажа'!E10,0)</f>
        <v/>
      </c>
      <c r="F11" s="47">
        <f>IF(AND('СРОКИ'!F10&gt;='СРОКИ'!$B$6,'СРОКИ'!F10&lt;='СРОКИ'!$B$7),'CAPEX'!$B$8*'Вводные'!$B$52/12*'Продажа'!F10,0)</f>
        <v/>
      </c>
      <c r="G11" s="47">
        <f>IF(AND('СРОКИ'!G10&gt;='СРОКИ'!$B$6,'СРОКИ'!G10&lt;='СРОКИ'!$B$7),'CAPEX'!$B$8*'Вводные'!$B$52/12*'Продажа'!G10,0)</f>
        <v/>
      </c>
      <c r="H11" s="47">
        <f>IF(AND('СРОКИ'!H10&gt;='СРОКИ'!$B$6,'СРОКИ'!H10&lt;='СРОКИ'!$B$7),'CAPEX'!$B$8*'Вводные'!$B$52/12*'Продажа'!H10,0)</f>
        <v/>
      </c>
      <c r="I11" s="47">
        <f>IF(AND('СРОКИ'!I10&gt;='СРОКИ'!$B$6,'СРОКИ'!I10&lt;='СРОКИ'!$B$7),'CAPEX'!$B$8*'Вводные'!$B$52/12*'Продажа'!I10,0)</f>
        <v/>
      </c>
      <c r="J11" s="47">
        <f>IF(AND('СРОКИ'!J10&gt;='СРОКИ'!$B$6,'СРОКИ'!J10&lt;='СРОКИ'!$B$7),'CAPEX'!$B$8*'Вводные'!$B$52/12*'Продажа'!J10,0)</f>
        <v/>
      </c>
      <c r="K11" s="47">
        <f>IF(AND('СРОКИ'!K10&gt;='СРОКИ'!$B$6,'СРОКИ'!K10&lt;='СРОКИ'!$B$7),'CAPEX'!$B$8*'Вводные'!$B$52/12*'Продажа'!K10,0)</f>
        <v/>
      </c>
      <c r="L11" s="47">
        <f>IF(AND('СРОКИ'!L10&gt;='СРОКИ'!$B$6,'СРОКИ'!L10&lt;='СРОКИ'!$B$7),'CAPEX'!$B$8*'Вводные'!$B$52/12*'Продажа'!L10,0)</f>
        <v/>
      </c>
      <c r="M11" s="47">
        <f>IF(AND('СРОКИ'!M10&gt;='СРОКИ'!$B$6,'СРОКИ'!M10&lt;='СРОКИ'!$B$7),'CAPEX'!$B$8*'Вводные'!$B$52/12*'Продажа'!M10,0)</f>
        <v/>
      </c>
      <c r="N11" s="47">
        <f>IF(AND('СРОКИ'!N10&gt;='СРОКИ'!$B$6,'СРОКИ'!N10&lt;='СРОКИ'!$B$7),'CAPEX'!$B$8*'Вводные'!$B$52/12*'Продажа'!N10,0)</f>
        <v/>
      </c>
      <c r="O11" s="47">
        <f>IF(AND('СРОКИ'!O10&gt;='СРОКИ'!$B$6,'СРОКИ'!O10&lt;='СРОКИ'!$B$7),'CAPEX'!$B$8*'Вводные'!$B$52/12*'Продажа'!O10,0)</f>
        <v/>
      </c>
      <c r="P11" s="47">
        <f>IF(AND('СРОКИ'!P10&gt;='СРОКИ'!$B$6,'СРОКИ'!P10&lt;='СРОКИ'!$B$7),'CAPEX'!$B$8*'Вводные'!$B$52/12*'Продажа'!P10,0)</f>
        <v/>
      </c>
      <c r="Q11" s="47">
        <f>IF(AND('СРОКИ'!Q10&gt;='СРОКИ'!$B$6,'СРОКИ'!Q10&lt;='СРОКИ'!$B$7),'CAPEX'!$B$8*'Вводные'!$B$52/12*'Продажа'!Q10,0)</f>
        <v/>
      </c>
      <c r="R11" s="47">
        <f>IF(AND('СРОКИ'!R10&gt;='СРОКИ'!$B$6,'СРОКИ'!R10&lt;='СРОКИ'!$B$7),'CAPEX'!$B$8*'Вводные'!$B$52/12*'Продажа'!R10,0)</f>
        <v/>
      </c>
      <c r="S11" s="47">
        <f>IF(AND('СРОКИ'!S10&gt;='СРОКИ'!$B$6,'СРОКИ'!S10&lt;='СРОКИ'!$B$7),'CAPEX'!$B$8*'Вводные'!$B$52/12*'Продажа'!S10,0)</f>
        <v/>
      </c>
      <c r="T11" s="47">
        <f>IF(AND('СРОКИ'!T10&gt;='СРОКИ'!$B$6,'СРОКИ'!T10&lt;='СРОКИ'!$B$7),'CAPEX'!$B$8*'Вводные'!$B$52/12*'Продажа'!T10,0)</f>
        <v/>
      </c>
      <c r="U11" s="47">
        <f>IF(AND('СРОКИ'!U10&gt;='СРОКИ'!$B$6,'СРОКИ'!U10&lt;='СРОКИ'!$B$7),'CAPEX'!$B$8*'Вводные'!$B$52/12*'Продажа'!U10,0)</f>
        <v/>
      </c>
      <c r="V11" s="47">
        <f>IF(AND('СРОКИ'!V10&gt;='СРОКИ'!$B$6,'СРОКИ'!V10&lt;='СРОКИ'!$B$7),'CAPEX'!$B$8*'Вводные'!$B$52/12*'Продажа'!V10,0)</f>
        <v/>
      </c>
      <c r="W11" s="47">
        <f>IF(AND('СРОКИ'!W10&gt;='СРОКИ'!$B$6,'СРОКИ'!W10&lt;='СРОКИ'!$B$7),'CAPEX'!$B$8*'Вводные'!$B$52/12*'Продажа'!W10,0)</f>
        <v/>
      </c>
      <c r="X11" s="47">
        <f>IF(AND('СРОКИ'!X10&gt;='СРОКИ'!$B$6,'СРОКИ'!X10&lt;='СРОКИ'!$B$7),'CAPEX'!$B$8*'Вводные'!$B$52/12*'Продажа'!X10,0)</f>
        <v/>
      </c>
      <c r="Y11" s="47">
        <f>IF(AND('СРОКИ'!Y10&gt;='СРОКИ'!$B$6,'СРОКИ'!Y10&lt;='СРОКИ'!$B$7),'CAPEX'!$B$8*'Вводные'!$B$52/12*'Продажа'!Y10,0)</f>
        <v/>
      </c>
      <c r="Z11" s="47">
        <f>IF(AND('СРОКИ'!Z10&gt;='СРОКИ'!$B$6,'СРОКИ'!Z10&lt;='СРОКИ'!$B$7),'CAPEX'!$B$8*'Вводные'!$B$52/12*'Продажа'!Z10,0)</f>
        <v/>
      </c>
      <c r="AA11" s="47">
        <f>IF(AND('СРОКИ'!AA10&gt;='СРОКИ'!$B$6,'СРОКИ'!AA10&lt;='СРОКИ'!$B$7),'CAPEX'!$B$8*'Вводные'!$B$52/12*'Продажа'!AA10,0)</f>
        <v/>
      </c>
      <c r="AB11" s="47">
        <f>IF(AND('СРОКИ'!AB10&gt;='СРОКИ'!$B$6,'СРОКИ'!AB10&lt;='СРОКИ'!$B$7),'CAPEX'!$B$8*'Вводные'!$B$52/12*'Продажа'!AB10,0)</f>
        <v/>
      </c>
      <c r="AC11" s="47">
        <f>IF(AND('СРОКИ'!AC10&gt;='СРОКИ'!$B$6,'СРОКИ'!AC10&lt;='СРОКИ'!$B$7),'CAPEX'!$B$8*'Вводные'!$B$52/12*'Продажа'!AC10,0)</f>
        <v/>
      </c>
      <c r="AD11" s="47">
        <f>IF(AND('СРОКИ'!AD10&gt;='СРОКИ'!$B$6,'СРОКИ'!AD10&lt;='СРОКИ'!$B$7),'CAPEX'!$B$8*'Вводные'!$B$52/12*'Продажа'!AD10,0)</f>
        <v/>
      </c>
      <c r="AE11" s="47">
        <f>IF(AND('СРОКИ'!AE10&gt;='СРОКИ'!$B$6,'СРОКИ'!AE10&lt;='СРОКИ'!$B$7),'CAPEX'!$B$8*'Вводные'!$B$52/12*'Продажа'!AE10,0)</f>
        <v/>
      </c>
      <c r="AF11" s="47">
        <f>IF(AND('СРОКИ'!AF10&gt;='СРОКИ'!$B$6,'СРОКИ'!AF10&lt;='СРОКИ'!$B$7),'CAPEX'!$B$8*'Вводные'!$B$52/12*'Продажа'!AF10,0)</f>
        <v/>
      </c>
      <c r="AG11" s="47">
        <f>IF(AND('СРОКИ'!AG10&gt;='СРОКИ'!$B$6,'СРОКИ'!AG10&lt;='СРОКИ'!$B$7),'CAPEX'!$B$8*'Вводные'!$B$52/12*'Продажа'!AG10,0)</f>
        <v/>
      </c>
      <c r="AH11" s="47">
        <f>IF(AND('СРОКИ'!AH10&gt;='СРОКИ'!$B$6,'СРОКИ'!AH10&lt;='СРОКИ'!$B$7),'CAPEX'!$B$8*'Вводные'!$B$52/12*'Продажа'!AH10,0)</f>
        <v/>
      </c>
      <c r="AI11" s="47">
        <f>IF(AND('СРОКИ'!AI10&gt;='СРОКИ'!$B$6,'СРОКИ'!AI10&lt;='СРОКИ'!$B$7),'CAPEX'!$B$8*'Вводные'!$B$52/12*'Продажа'!AI10,0)</f>
        <v/>
      </c>
      <c r="AJ11" s="47">
        <f>IF(AND('СРОКИ'!AJ10&gt;='СРОКИ'!$B$6,'СРОКИ'!AJ10&lt;='СРОКИ'!$B$7),'CAPEX'!$B$8*'Вводные'!$B$52/12*'Продажа'!AJ10,0)</f>
        <v/>
      </c>
      <c r="AK11" s="47">
        <f>IF(AND('СРОКИ'!AK10&gt;='СРОКИ'!$B$6,'СРОКИ'!AK10&lt;='СРОКИ'!$B$7),'CAPEX'!$B$8*'Вводные'!$B$52/12*'Продажа'!AK10,0)</f>
        <v/>
      </c>
      <c r="AL11" s="47">
        <f>IF(AND('СРОКИ'!AL10&gt;='СРОКИ'!$B$6,'СРОКИ'!AL10&lt;='СРОКИ'!$B$7),'CAPEX'!$B$8*'Вводные'!$B$52/12*'Продажа'!AL10,0)</f>
        <v/>
      </c>
      <c r="AM11" s="47">
        <f>IF(AND('СРОКИ'!AM10&gt;='СРОКИ'!$B$6,'СРОКИ'!AM10&lt;='СРОКИ'!$B$7),'CAPEX'!$B$8*'Вводные'!$B$52/12*'Продажа'!AM10,0)</f>
        <v/>
      </c>
      <c r="AN11" s="47">
        <f>IF(AND('СРОКИ'!AN10&gt;='СРОКИ'!$B$6,'СРОКИ'!AN10&lt;='СРОКИ'!$B$7),'CAPEX'!$B$8*'Вводные'!$B$52/12*'Продажа'!AN10,0)</f>
        <v/>
      </c>
      <c r="AO11" s="47">
        <f>IF(AND('СРОКИ'!AO10&gt;='СРОКИ'!$B$6,'СРОКИ'!AO10&lt;='СРОКИ'!$B$7),'CAPEX'!$B$8*'Вводные'!$B$52/12*'Продажа'!AO10,0)</f>
        <v/>
      </c>
      <c r="AP11" s="47">
        <f>IF(AND('СРОКИ'!AP10&gt;='СРОКИ'!$B$6,'СРОКИ'!AP10&lt;='СРОКИ'!$B$7),'CAPEX'!$B$8*'Вводные'!$B$52/12*'Продажа'!AP10,0)</f>
        <v/>
      </c>
      <c r="AQ11" s="47">
        <f>IF(AND('СРОКИ'!AQ10&gt;='СРОКИ'!$B$6,'СРОКИ'!AQ10&lt;='СРОКИ'!$B$7),'CAPEX'!$B$8*'Вводные'!$B$52/12*'Продажа'!AQ10,0)</f>
        <v/>
      </c>
      <c r="AR11" s="47">
        <f>IF(AND('СРОКИ'!AR10&gt;='СРОКИ'!$B$6,'СРОКИ'!AR10&lt;='СРОКИ'!$B$7),'CAPEX'!$B$8*'Вводные'!$B$52/12*'Продажа'!AR10,0)</f>
        <v/>
      </c>
      <c r="AS11" s="47">
        <f>IF(AND('СРОКИ'!AS10&gt;='СРОКИ'!$B$6,'СРОКИ'!AS10&lt;='СРОКИ'!$B$7),'CAPEX'!$B$8*'Вводные'!$B$52/12*'Продажа'!AS10,0)</f>
        <v/>
      </c>
      <c r="AT11" s="47">
        <f>IF(AND('СРОКИ'!AT10&gt;='СРОКИ'!$B$6,'СРОКИ'!AT10&lt;='СРОКИ'!$B$7),'CAPEX'!$B$8*'Вводные'!$B$52/12*'Продажа'!AT10,0)</f>
        <v/>
      </c>
      <c r="AU11" s="47">
        <f>IF(AND('СРОКИ'!AU10&gt;='СРОКИ'!$B$6,'СРОКИ'!AU10&lt;='СРОКИ'!$B$7),'CAPEX'!$B$8*'Вводные'!$B$52/12*'Продажа'!AU10,0)</f>
        <v/>
      </c>
      <c r="AV11" s="47">
        <f>IF(AND('СРОКИ'!AV10&gt;='СРОКИ'!$B$6,'СРОКИ'!AV10&lt;='СРОКИ'!$B$7),'CAPEX'!$B$8*'Вводные'!$B$52/12*'Продажа'!AV10,0)</f>
        <v/>
      </c>
      <c r="AW11" s="47">
        <f>IF(AND('СРОКИ'!AW10&gt;='СРОКИ'!$B$6,'СРОКИ'!AW10&lt;='СРОКИ'!$B$7),'CAPEX'!$B$8*'Вводные'!$B$52/12*'Продажа'!AW10,0)</f>
        <v/>
      </c>
      <c r="AX11" s="47">
        <f>IF(AND('СРОКИ'!AX10&gt;='СРОКИ'!$B$6,'СРОКИ'!AX10&lt;='СРОКИ'!$B$7),'CAPEX'!$B$8*'Вводные'!$B$52/12*'Продажа'!AX10,0)</f>
        <v/>
      </c>
      <c r="AY11" s="47">
        <f>IF(AND('СРОКИ'!AY10&gt;='СРОКИ'!$B$6,'СРОКИ'!AY10&lt;='СРОКИ'!$B$7),'CAPEX'!$B$8*'Вводные'!$B$52/12*'Продажа'!AY10,0)</f>
        <v/>
      </c>
      <c r="AZ11" s="47">
        <f>IF(AND('СРОКИ'!AZ10&gt;='СРОКИ'!$B$6,'СРОКИ'!AZ10&lt;='СРОКИ'!$B$7),'CAPEX'!$B$8*'Вводные'!$B$52/12*'Продажа'!AZ10,0)</f>
        <v/>
      </c>
      <c r="BA11" s="47">
        <f>IF(AND('СРОКИ'!BA10&gt;='СРОКИ'!$B$6,'СРОКИ'!BA10&lt;='СРОКИ'!$B$7),'CAPEX'!$B$8*'Вводные'!$B$52/12*'Продажа'!BA10,0)</f>
        <v/>
      </c>
      <c r="BB11" s="47">
        <f>IF(AND('СРОКИ'!BB10&gt;='СРОКИ'!$B$6,'СРОКИ'!BB10&lt;='СРОКИ'!$B$7),'CAPEX'!$B$8*'Вводные'!$B$52/12*'Продажа'!BB10,0)</f>
        <v/>
      </c>
      <c r="BC11" s="47">
        <f>IF(AND('СРОКИ'!BC10&gt;='СРОКИ'!$B$6,'СРОКИ'!BC10&lt;='СРОКИ'!$B$7),'CAPEX'!$B$8*'Вводные'!$B$52/12*'Продажа'!BC10,0)</f>
        <v/>
      </c>
      <c r="BD11" s="47">
        <f>IF(AND('СРОКИ'!BD10&gt;='СРОКИ'!$B$6,'СРОКИ'!BD10&lt;='СРОКИ'!$B$7),'CAPEX'!$B$8*'Вводные'!$B$52/12*'Продажа'!BD10,0)</f>
        <v/>
      </c>
      <c r="BE11" s="47">
        <f>IF(AND('СРОКИ'!BE10&gt;='СРОКИ'!$B$6,'СРОКИ'!BE10&lt;='СРОКИ'!$B$7),'CAPEX'!$B$8*'Вводные'!$B$52/12*'Продажа'!BE10,0)</f>
        <v/>
      </c>
      <c r="BF11" s="47">
        <f>IF(AND('СРОКИ'!BF10&gt;='СРОКИ'!$B$6,'СРОКИ'!BF10&lt;='СРОКИ'!$B$7),'CAPEX'!$B$8*'Вводные'!$B$52/12*'Продажа'!BF10,0)</f>
        <v/>
      </c>
      <c r="BG11" s="47">
        <f>IF(AND('СРОКИ'!BG10&gt;='СРОКИ'!$B$6,'СРОКИ'!BG10&lt;='СРОКИ'!$B$7),'CAPEX'!$B$8*'Вводные'!$B$52/12*'Продажа'!BG10,0)</f>
        <v/>
      </c>
      <c r="BH11" s="47">
        <f>IF(AND('СРОКИ'!BH10&gt;='СРОКИ'!$B$6,'СРОКИ'!BH10&lt;='СРОКИ'!$B$7),'CAPEX'!$B$8*'Вводные'!$B$52/12*'Продажа'!BH10,0)</f>
        <v/>
      </c>
      <c r="BI11" s="47">
        <f>IF(AND('СРОКИ'!BI10&gt;='СРОКИ'!$B$6,'СРОКИ'!BI10&lt;='СРОКИ'!$B$7),'CAPEX'!$B$8*'Вводные'!$B$52/12*'Продажа'!BI10,0)</f>
        <v/>
      </c>
      <c r="BJ11" s="47">
        <f>IF(AND('СРОКИ'!BJ10&gt;='СРОКИ'!$B$6,'СРОКИ'!BJ10&lt;='СРОКИ'!$B$7),'CAPEX'!$B$8*'Вводные'!$B$52/12*'Продажа'!BJ10,0)</f>
        <v/>
      </c>
      <c r="BK11" s="47">
        <f>IF(AND('СРОКИ'!BK10&gt;='СРОКИ'!$B$6,'СРОКИ'!BK10&lt;='СРОКИ'!$B$7),'CAPEX'!$B$8*'Вводные'!$B$52/12*'Продажа'!BK10,0)</f>
        <v/>
      </c>
      <c r="BL11" s="47">
        <f>IF(AND('СРОКИ'!BL10&gt;='СРОКИ'!$B$6,'СРОКИ'!BL10&lt;='СРОКИ'!$B$7),'CAPEX'!$B$8*'Вводные'!$B$52/12*'Продажа'!BL10,0)</f>
        <v/>
      </c>
      <c r="BM11" s="47">
        <f>IF(AND('СРОКИ'!BM10&gt;='СРОКИ'!$B$6,'СРОКИ'!BM10&lt;='СРОКИ'!$B$7),'CAPEX'!$B$8*'Вводные'!$B$52/12*'Продажа'!BM10,0)</f>
        <v/>
      </c>
      <c r="BN11" s="47">
        <f>IF(AND('СРОКИ'!BN10&gt;='СРОКИ'!$B$6,'СРОКИ'!BN10&lt;='СРОКИ'!$B$7),'CAPEX'!$B$8*'Вводные'!$B$52/12*'Продажа'!BN10,0)</f>
        <v/>
      </c>
      <c r="BO11" s="47">
        <f>IF(AND('СРОКИ'!BO10&gt;='СРОКИ'!$B$6,'СРОКИ'!BO10&lt;='СРОКИ'!$B$7),'CAPEX'!$B$8*'Вводные'!$B$52/12*'Продажа'!BO10,0)</f>
        <v/>
      </c>
      <c r="BP11" s="47">
        <f>IF(AND('СРОКИ'!BP10&gt;='СРОКИ'!$B$6,'СРОКИ'!BP10&lt;='СРОКИ'!$B$7),'CAPEX'!$B$8*'Вводные'!$B$52/12*'Продажа'!BP10,0)</f>
        <v/>
      </c>
      <c r="BQ11" s="47">
        <f>IF(AND('СРОКИ'!BQ10&gt;='СРОКИ'!$B$6,'СРОКИ'!BQ10&lt;='СРОКИ'!$B$7),'CAPEX'!$B$8*'Вводные'!$B$52/12*'Продажа'!BQ10,0)</f>
        <v/>
      </c>
      <c r="BR11" s="47">
        <f>IF(AND('СРОКИ'!BR10&gt;='СРОКИ'!$B$6,'СРОКИ'!BR10&lt;='СРОКИ'!$B$7),'CAPEX'!$B$8*'Вводные'!$B$52/12*'Продажа'!BR10,0)</f>
        <v/>
      </c>
      <c r="BS11" s="47">
        <f>IF(AND('СРОКИ'!BS10&gt;='СРОКИ'!$B$6,'СРОКИ'!BS10&lt;='СРОКИ'!$B$7),'CAPEX'!$B$8*'Вводные'!$B$52/12*'Продажа'!BS10,0)</f>
        <v/>
      </c>
      <c r="BT11" s="47">
        <f>IF(AND('СРОКИ'!BT10&gt;='СРОКИ'!$B$6,'СРОКИ'!BT10&lt;='СРОКИ'!$B$7),'CAPEX'!$B$8*'Вводные'!$B$52/12*'Продажа'!BT10,0)</f>
        <v/>
      </c>
      <c r="BU11" s="47">
        <f>IF(AND('СРОКИ'!BU10&gt;='СРОКИ'!$B$6,'СРОКИ'!BU10&lt;='СРОКИ'!$B$7),'CAPEX'!$B$8*'Вводные'!$B$52/12*'Продажа'!BU10,0)</f>
        <v/>
      </c>
      <c r="BV11" s="47">
        <f>IF(AND('СРОКИ'!BV10&gt;='СРОКИ'!$B$6,'СРОКИ'!BV10&lt;='СРОКИ'!$B$7),'CAPEX'!$B$8*'Вводные'!$B$52/12*'Продажа'!BV10,0)</f>
        <v/>
      </c>
      <c r="BW11" s="47">
        <f>IF(AND('СРОКИ'!BW10&gt;='СРОКИ'!$B$6,'СРОКИ'!BW10&lt;='СРОКИ'!$B$7),'CAPEX'!$B$8*'Вводные'!$B$52/12*'Продажа'!BW10,0)</f>
        <v/>
      </c>
      <c r="BX11" s="47">
        <f>IF(AND('СРОКИ'!BX10&gt;='СРОКИ'!$B$6,'СРОКИ'!BX10&lt;='СРОКИ'!$B$7),'CAPEX'!$B$8*'Вводные'!$B$52/12*'Продажа'!BX10,0)</f>
        <v/>
      </c>
      <c r="BY11" s="47">
        <f>IF(AND('СРОКИ'!BY10&gt;='СРОКИ'!$B$6,'СРОКИ'!BY10&lt;='СРОКИ'!$B$7),'CAPEX'!$B$8*'Вводные'!$B$52/12*'Продажа'!BY10,0)</f>
        <v/>
      </c>
      <c r="BZ11" s="47">
        <f>IF(AND('СРОКИ'!BZ10&gt;='СРОКИ'!$B$6,'СРОКИ'!BZ10&lt;='СРОКИ'!$B$7),'CAPEX'!$B$8*'Вводные'!$B$52/12*'Продажа'!BZ10,0)</f>
        <v/>
      </c>
      <c r="CA11" s="47">
        <f>IF(AND('СРОКИ'!CA10&gt;='СРОКИ'!$B$6,'СРОКИ'!CA10&lt;='СРОКИ'!$B$7),'CAPEX'!$B$8*'Вводные'!$B$52/12*'Продажа'!CA10,0)</f>
        <v/>
      </c>
      <c r="CB11" s="47">
        <f>IF(AND('СРОКИ'!CB10&gt;='СРОКИ'!$B$6,'СРОКИ'!CB10&lt;='СРОКИ'!$B$7),'CAPEX'!$B$8*'Вводные'!$B$52/12*'Продажа'!CB10,0)</f>
        <v/>
      </c>
      <c r="CC11" s="47">
        <f>IF(AND('СРОКИ'!CC10&gt;='СРОКИ'!$B$6,'СРОКИ'!CC10&lt;='СРОКИ'!$B$7),'CAPEX'!$B$8*'Вводные'!$B$52/12*'Продажа'!CC10,0)</f>
        <v/>
      </c>
      <c r="CD11" s="47">
        <f>IF(AND('СРОКИ'!CD10&gt;='СРОКИ'!$B$6,'СРОКИ'!CD10&lt;='СРОКИ'!$B$7),'CAPEX'!$B$8*'Вводные'!$B$52/12*'Продажа'!CD10,0)</f>
        <v/>
      </c>
      <c r="CE11" s="47">
        <f>IF(AND('СРОКИ'!CE10&gt;='СРОКИ'!$B$6,'СРОКИ'!CE10&lt;='СРОКИ'!$B$7),'CAPEX'!$B$8*'Вводные'!$B$52/12*'Продажа'!CE10,0)</f>
        <v/>
      </c>
      <c r="CF11" s="47">
        <f>IF(AND('СРОКИ'!CF10&gt;='СРОКИ'!$B$6,'СРОКИ'!CF10&lt;='СРОКИ'!$B$7),'CAPEX'!$B$8*'Вводные'!$B$52/12*'Продажа'!CF10,0)</f>
        <v/>
      </c>
      <c r="CG11" s="47">
        <f>IF(AND('СРОКИ'!CG10&gt;='СРОКИ'!$B$6,'СРОКИ'!CG10&lt;='СРОКИ'!$B$7),'CAPEX'!$B$8*'Вводные'!$B$52/12*'Продажа'!CG10,0)</f>
        <v/>
      </c>
      <c r="CH11" s="47">
        <f>IF(AND('СРОКИ'!CH10&gt;='СРОКИ'!$B$6,'СРОКИ'!CH10&lt;='СРОКИ'!$B$7),'CAPEX'!$B$8*'Вводные'!$B$52/12*'Продажа'!CH10,0)</f>
        <v/>
      </c>
      <c r="CI11" s="47">
        <f>IF(AND('СРОКИ'!CI10&gt;='СРОКИ'!$B$6,'СРОКИ'!CI10&lt;='СРОКИ'!$B$7),'CAPEX'!$B$8*'Вводные'!$B$52/12*'Продажа'!CI10,0)</f>
        <v/>
      </c>
      <c r="CJ11" s="47">
        <f>IF(AND('СРОКИ'!CJ10&gt;='СРОКИ'!$B$6,'СРОКИ'!CJ10&lt;='СРОКИ'!$B$7),'CAPEX'!$B$8*'Вводные'!$B$52/12*'Продажа'!CJ10,0)</f>
        <v/>
      </c>
      <c r="CK11" s="47">
        <f>IF(AND('СРОКИ'!CK10&gt;='СРОКИ'!$B$6,'СРОКИ'!CK10&lt;='СРОКИ'!$B$7),'CAPEX'!$B$8*'Вводные'!$B$52/12*'Продажа'!CK10,0)</f>
        <v/>
      </c>
      <c r="CL11" s="47">
        <f>IF(AND('СРОКИ'!CL10&gt;='СРОКИ'!$B$6,'СРОКИ'!CL10&lt;='СРОКИ'!$B$7),'CAPEX'!$B$8*'Вводные'!$B$52/12*'Продажа'!CL10,0)</f>
        <v/>
      </c>
      <c r="CM11" s="47">
        <f>IF(AND('СРОКИ'!CM10&gt;='СРОКИ'!$B$6,'СРОКИ'!CM10&lt;='СРОКИ'!$B$7),'CAPEX'!$B$8*'Вводные'!$B$52/12*'Продажа'!CM10,0)</f>
        <v/>
      </c>
      <c r="CN11" s="47">
        <f>IF(AND('СРОКИ'!CN10&gt;='СРОКИ'!$B$6,'СРОКИ'!CN10&lt;='СРОКИ'!$B$7),'CAPEX'!$B$8*'Вводные'!$B$52/12*'Продажа'!CN10,0)</f>
        <v/>
      </c>
      <c r="CO11" s="47">
        <f>IF(AND('СРОКИ'!CO10&gt;='СРОКИ'!$B$6,'СРОКИ'!CO10&lt;='СРОКИ'!$B$7),'CAPEX'!$B$8*'Вводные'!$B$52/12*'Продажа'!CO10,0)</f>
        <v/>
      </c>
      <c r="CP11" s="47">
        <f>IF(AND('СРОКИ'!CP10&gt;='СРОКИ'!$B$6,'СРОКИ'!CP10&lt;='СРОКИ'!$B$7),'CAPEX'!$B$8*'Вводные'!$B$52/12*'Продажа'!CP10,0)</f>
        <v/>
      </c>
      <c r="CQ11" s="47">
        <f>IF(AND('СРОКИ'!CQ10&gt;='СРОКИ'!$B$6,'СРОКИ'!CQ10&lt;='СРОКИ'!$B$7),'CAPEX'!$B$8*'Вводные'!$B$52/12*'Продажа'!CQ10,0)</f>
        <v/>
      </c>
      <c r="CR11" s="47">
        <f>IF(AND('СРОКИ'!CR10&gt;='СРОКИ'!$B$6,'СРОКИ'!CR10&lt;='СРОКИ'!$B$7),'CAPEX'!$B$8*'Вводные'!$B$52/12*'Продажа'!CR10,0)</f>
        <v/>
      </c>
      <c r="CS11" s="47">
        <f>IF(AND('СРОКИ'!CS10&gt;='СРОКИ'!$B$6,'СРОКИ'!CS10&lt;='СРОКИ'!$B$7),'CAPEX'!$B$8*'Вводные'!$B$52/12*'Продажа'!CS10,0)</f>
        <v/>
      </c>
      <c r="CT11" s="47">
        <f>IF(AND('СРОКИ'!CT10&gt;='СРОКИ'!$B$6,'СРОКИ'!CT10&lt;='СРОКИ'!$B$7),'CAPEX'!$B$8*'Вводные'!$B$52/12*'Продажа'!CT10,0)</f>
        <v/>
      </c>
      <c r="CU11" s="47">
        <f>IF(AND('СРОКИ'!CU10&gt;='СРОКИ'!$B$6,'СРОКИ'!CU10&lt;='СРОКИ'!$B$7),'CAPEX'!$B$8*'Вводные'!$B$52/12*'Продажа'!CU10,0)</f>
        <v/>
      </c>
      <c r="CV11" s="47">
        <f>IF(AND('СРОКИ'!CV10&gt;='СРОКИ'!$B$6,'СРОКИ'!CV10&lt;='СРОКИ'!$B$7),'CAPEX'!$B$8*'Вводные'!$B$52/12*'Продажа'!CV10,0)</f>
        <v/>
      </c>
      <c r="CW11" s="47">
        <f>IF(AND('СРОКИ'!CW10&gt;='СРОКИ'!$B$6,'СРОКИ'!CW10&lt;='СРОКИ'!$B$7),'CAPEX'!$B$8*'Вводные'!$B$52/12*'Продажа'!CW10,0)</f>
        <v/>
      </c>
      <c r="CX11" s="47">
        <f>IF(AND('СРОКИ'!CX10&gt;='СРОКИ'!$B$6,'СРОКИ'!CX10&lt;='СРОКИ'!$B$7),'CAPEX'!$B$8*'Вводные'!$B$52/12*'Продажа'!CX10,0)</f>
        <v/>
      </c>
      <c r="CY11" s="47">
        <f>IF(AND('СРОКИ'!CY10&gt;='СРОКИ'!$B$6,'СРОКИ'!CY10&lt;='СРОКИ'!$B$7),'CAPEX'!$B$8*'Вводные'!$B$52/12*'Продажа'!CY10,0)</f>
        <v/>
      </c>
      <c r="CZ11" s="47">
        <f>IF(AND('СРОКИ'!CZ10&gt;='СРОКИ'!$B$6,'СРОКИ'!CZ10&lt;='СРОКИ'!$B$7),'CAPEX'!$B$8*'Вводные'!$B$52/12*'Продажа'!CZ10,0)</f>
        <v/>
      </c>
      <c r="DA11" s="47">
        <f>IF(AND('СРОКИ'!DA10&gt;='СРОКИ'!$B$6,'СРОКИ'!DA10&lt;='СРОКИ'!$B$7),'CAPEX'!$B$8*'Вводные'!$B$52/12*'Продажа'!DA10,0)</f>
        <v/>
      </c>
      <c r="DB11" s="47">
        <f>IF(AND('СРОКИ'!DB10&gt;='СРОКИ'!$B$6,'СРОКИ'!DB10&lt;='СРОКИ'!$B$7),'CAPEX'!$B$8*'Вводные'!$B$52/12*'Продажа'!DB10,0)</f>
        <v/>
      </c>
      <c r="DC11" s="47">
        <f>IF(AND('СРОКИ'!DC10&gt;='СРОКИ'!$B$6,'СРОКИ'!DC10&lt;='СРОКИ'!$B$7),'CAPEX'!$B$8*'Вводные'!$B$52/12*'Продажа'!DC10,0)</f>
        <v/>
      </c>
      <c r="DD11" s="47">
        <f>IF(AND('СРОКИ'!DD10&gt;='СРОКИ'!$B$6,'СРОКИ'!DD10&lt;='СРОКИ'!$B$7),'CAPEX'!$B$8*'Вводные'!$B$52/12*'Продажа'!DD10,0)</f>
        <v/>
      </c>
      <c r="DE11" s="47">
        <f>IF(AND('СРОКИ'!DE10&gt;='СРОКИ'!$B$6,'СРОКИ'!DE10&lt;='СРОКИ'!$B$7),'CAPEX'!$B$8*'Вводные'!$B$52/12*'Продажа'!DE10,0)</f>
        <v/>
      </c>
      <c r="DF11" s="47">
        <f>IF(AND('СРОКИ'!DF10&gt;='СРОКИ'!$B$6,'СРОКИ'!DF10&lt;='СРОКИ'!$B$7),'CAPEX'!$B$8*'Вводные'!$B$52/12*'Продажа'!DF10,0)</f>
        <v/>
      </c>
      <c r="DG11" s="47">
        <f>IF(AND('СРОКИ'!DG10&gt;='СРОКИ'!$B$6,'СРОКИ'!DG10&lt;='СРОКИ'!$B$7),'CAPEX'!$B$8*'Вводные'!$B$52/12*'Продажа'!DG10,0)</f>
        <v/>
      </c>
      <c r="DH11" s="47">
        <f>IF(AND('СРОКИ'!DH10&gt;='СРОКИ'!$B$6,'СРОКИ'!DH10&lt;='СРОКИ'!$B$7),'CAPEX'!$B$8*'Вводные'!$B$52/12*'Продажа'!DH10,0)</f>
        <v/>
      </c>
      <c r="DI11" s="47">
        <f>IF(AND('СРОКИ'!DI10&gt;='СРОКИ'!$B$6,'СРОКИ'!DI10&lt;='СРОКИ'!$B$7),'CAPEX'!$B$8*'Вводные'!$B$52/12*'Продажа'!DI10,0)</f>
        <v/>
      </c>
      <c r="DJ11" s="47">
        <f>IF(AND('СРОКИ'!DJ10&gt;='СРОКИ'!$B$6,'СРОКИ'!DJ10&lt;='СРОКИ'!$B$7),'CAPEX'!$B$8*'Вводные'!$B$52/12*'Продажа'!DJ10,0)</f>
        <v/>
      </c>
      <c r="DK11" s="47">
        <f>IF(AND('СРОКИ'!DK10&gt;='СРОКИ'!$B$6,'СРОКИ'!DK10&lt;='СРОКИ'!$B$7),'CAPEX'!$B$8*'Вводные'!$B$52/12*'Продажа'!DK10,0)</f>
        <v/>
      </c>
      <c r="DL11" s="47">
        <f>IF(AND('СРОКИ'!DL10&gt;='СРОКИ'!$B$6,'СРОКИ'!DL10&lt;='СРОКИ'!$B$7),'CAPEX'!$B$8*'Вводные'!$B$52/12*'Продажа'!DL10,0)</f>
        <v/>
      </c>
      <c r="DM11" s="47">
        <f>IF(AND('СРОКИ'!DM10&gt;='СРОКИ'!$B$6,'СРОКИ'!DM10&lt;='СРОКИ'!$B$7),'CAPEX'!$B$8*'Вводные'!$B$52/12*'Продажа'!DM10,0)</f>
        <v/>
      </c>
    </row>
  </sheetData>
  <pageMargins left="0.75" right="0.75" top="1" bottom="1" header="0.5" footer="0.5"/>
  <pageSetup orientation="landscape" scale="52" fitToHeight="0" fitToWidth="1"/>
  <colBreaks count="9" manualBreakCount="9">
    <brk id="15" min="0" max="16383" man="1"/>
    <brk id="27" min="0" max="16383" man="1"/>
    <brk id="39" min="0" max="16383" man="1"/>
    <brk id="51" min="0" max="16383" man="1"/>
    <brk id="63" min="0" max="16383" man="1"/>
    <brk id="75" min="0" max="16383" man="1"/>
    <brk id="87" min="0" max="16383" man="1"/>
    <brk id="99" min="0" max="16383" man="1"/>
    <brk id="111" min="0" max="16383" man="1"/>
  </colBreaks>
</worksheet>
</file>

<file path=xl/worksheets/sheet9.xml><?xml version="1.0" encoding="utf-8"?>
<worksheet xmlns="http://schemas.openxmlformats.org/spreadsheetml/2006/main">
  <sheetPr>
    <tabColor rgb="00C26A0A"/>
    <outlinePr summaryBelow="1" summaryRight="1"/>
    <pageSetUpPr fitToPage="0"/>
  </sheetPr>
  <dimension ref="A1:DN1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</cols>
  <sheetData>
    <row r="1">
      <c r="A1" s="1" t="inlineStr">
        <is>
          <t>ПУТЬ 2 · АРЕНДА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</row>
    <row r="2">
      <c r="A2" s="3" t="inlineStr">
        <is>
          <t>Заполнение, индексация, расходы эксплуатации, налог на имущество, NOI. млн ₽ с НДС.</t>
        </is>
      </c>
    </row>
    <row r="3">
      <c r="A3" s="9" t="inlineStr">
        <is>
          <t>Показатель</t>
        </is>
      </c>
      <c r="B3" s="9" t="inlineStr">
        <is>
          <t>Итого / вводная</t>
        </is>
      </c>
      <c r="C3" s="9" t="inlineStr">
        <is>
          <t>Ед.</t>
        </is>
      </c>
      <c r="D3" s="34">
        <f>СРОКИ!D3</f>
        <v/>
      </c>
      <c r="E3" s="34">
        <f>СРОКИ!E3</f>
        <v/>
      </c>
      <c r="F3" s="34">
        <f>СРОКИ!F3</f>
        <v/>
      </c>
      <c r="G3" s="34">
        <f>СРОКИ!G3</f>
        <v/>
      </c>
      <c r="H3" s="34">
        <f>СРОКИ!H3</f>
        <v/>
      </c>
      <c r="I3" s="34">
        <f>СРОКИ!I3</f>
        <v/>
      </c>
      <c r="J3" s="34">
        <f>СРОКИ!J3</f>
        <v/>
      </c>
      <c r="K3" s="34">
        <f>СРОКИ!K3</f>
        <v/>
      </c>
      <c r="L3" s="34">
        <f>СРОКИ!L3</f>
        <v/>
      </c>
      <c r="M3" s="34">
        <f>СРОКИ!M3</f>
        <v/>
      </c>
      <c r="N3" s="34">
        <f>СРОКИ!N3</f>
        <v/>
      </c>
      <c r="O3" s="34">
        <f>СРОКИ!O3</f>
        <v/>
      </c>
      <c r="P3" s="34">
        <f>СРОКИ!P3</f>
        <v/>
      </c>
      <c r="Q3" s="34">
        <f>СРОКИ!Q3</f>
        <v/>
      </c>
      <c r="R3" s="34">
        <f>СРОКИ!R3</f>
        <v/>
      </c>
      <c r="S3" s="34">
        <f>СРОКИ!S3</f>
        <v/>
      </c>
      <c r="T3" s="34">
        <f>СРОКИ!T3</f>
        <v/>
      </c>
      <c r="U3" s="34">
        <f>СРОКИ!U3</f>
        <v/>
      </c>
      <c r="V3" s="34">
        <f>СРОКИ!V3</f>
        <v/>
      </c>
      <c r="W3" s="34">
        <f>СРОКИ!W3</f>
        <v/>
      </c>
      <c r="X3" s="34">
        <f>СРОКИ!X3</f>
        <v/>
      </c>
      <c r="Y3" s="34">
        <f>СРОКИ!Y3</f>
        <v/>
      </c>
      <c r="Z3" s="34">
        <f>СРОКИ!Z3</f>
        <v/>
      </c>
      <c r="AA3" s="34">
        <f>СРОКИ!AA3</f>
        <v/>
      </c>
      <c r="AB3" s="34">
        <f>СРОКИ!AB3</f>
        <v/>
      </c>
      <c r="AC3" s="34">
        <f>СРОКИ!AC3</f>
        <v/>
      </c>
      <c r="AD3" s="34">
        <f>СРОКИ!AD3</f>
        <v/>
      </c>
      <c r="AE3" s="34">
        <f>СРОКИ!AE3</f>
        <v/>
      </c>
      <c r="AF3" s="34">
        <f>СРОКИ!AF3</f>
        <v/>
      </c>
      <c r="AG3" s="34">
        <f>СРОКИ!AG3</f>
        <v/>
      </c>
      <c r="AH3" s="34">
        <f>СРОКИ!AH3</f>
        <v/>
      </c>
      <c r="AI3" s="34">
        <f>СРОКИ!AI3</f>
        <v/>
      </c>
      <c r="AJ3" s="34">
        <f>СРОКИ!AJ3</f>
        <v/>
      </c>
      <c r="AK3" s="34">
        <f>СРОКИ!AK3</f>
        <v/>
      </c>
      <c r="AL3" s="34">
        <f>СРОКИ!AL3</f>
        <v/>
      </c>
      <c r="AM3" s="34">
        <f>СРОКИ!AM3</f>
        <v/>
      </c>
      <c r="AN3" s="34">
        <f>СРОКИ!AN3</f>
        <v/>
      </c>
      <c r="AO3" s="34">
        <f>СРОКИ!AO3</f>
        <v/>
      </c>
      <c r="AP3" s="34">
        <f>СРОКИ!AP3</f>
        <v/>
      </c>
      <c r="AQ3" s="34">
        <f>СРОКИ!AQ3</f>
        <v/>
      </c>
      <c r="AR3" s="34">
        <f>СРОКИ!AR3</f>
        <v/>
      </c>
      <c r="AS3" s="34">
        <f>СРОКИ!AS3</f>
        <v/>
      </c>
      <c r="AT3" s="34">
        <f>СРОКИ!AT3</f>
        <v/>
      </c>
      <c r="AU3" s="34">
        <f>СРОКИ!AU3</f>
        <v/>
      </c>
      <c r="AV3" s="34">
        <f>СРОКИ!AV3</f>
        <v/>
      </c>
      <c r="AW3" s="34">
        <f>СРОКИ!AW3</f>
        <v/>
      </c>
      <c r="AX3" s="34">
        <f>СРОКИ!AX3</f>
        <v/>
      </c>
      <c r="AY3" s="34">
        <f>СРОКИ!AY3</f>
        <v/>
      </c>
      <c r="AZ3" s="34">
        <f>СРОКИ!AZ3</f>
        <v/>
      </c>
      <c r="BA3" s="34">
        <f>СРОКИ!BA3</f>
        <v/>
      </c>
      <c r="BB3" s="34">
        <f>СРОКИ!BB3</f>
        <v/>
      </c>
      <c r="BC3" s="34">
        <f>СРОКИ!BC3</f>
        <v/>
      </c>
      <c r="BD3" s="34">
        <f>СРОКИ!BD3</f>
        <v/>
      </c>
      <c r="BE3" s="34">
        <f>СРОКИ!BE3</f>
        <v/>
      </c>
      <c r="BF3" s="34">
        <f>СРОКИ!BF3</f>
        <v/>
      </c>
      <c r="BG3" s="34">
        <f>СРОКИ!BG3</f>
        <v/>
      </c>
      <c r="BH3" s="34">
        <f>СРОКИ!BH3</f>
        <v/>
      </c>
      <c r="BI3" s="34">
        <f>СРОКИ!BI3</f>
        <v/>
      </c>
      <c r="BJ3" s="34">
        <f>СРОКИ!BJ3</f>
        <v/>
      </c>
      <c r="BK3" s="34">
        <f>СРОКИ!BK3</f>
        <v/>
      </c>
      <c r="BL3" s="34">
        <f>СРОКИ!BL3</f>
        <v/>
      </c>
      <c r="BM3" s="34">
        <f>СРОКИ!BM3</f>
        <v/>
      </c>
      <c r="BN3" s="34">
        <f>СРОКИ!BN3</f>
        <v/>
      </c>
      <c r="BO3" s="34">
        <f>СРОКИ!BO3</f>
        <v/>
      </c>
      <c r="BP3" s="34">
        <f>СРОКИ!BP3</f>
        <v/>
      </c>
      <c r="BQ3" s="34">
        <f>СРОКИ!BQ3</f>
        <v/>
      </c>
      <c r="BR3" s="34">
        <f>СРОКИ!BR3</f>
        <v/>
      </c>
      <c r="BS3" s="34">
        <f>СРОКИ!BS3</f>
        <v/>
      </c>
      <c r="BT3" s="34">
        <f>СРОКИ!BT3</f>
        <v/>
      </c>
      <c r="BU3" s="34">
        <f>СРОКИ!BU3</f>
        <v/>
      </c>
      <c r="BV3" s="34">
        <f>СРОКИ!BV3</f>
        <v/>
      </c>
      <c r="BW3" s="34">
        <f>СРОКИ!BW3</f>
        <v/>
      </c>
      <c r="BX3" s="34">
        <f>СРОКИ!BX3</f>
        <v/>
      </c>
      <c r="BY3" s="34">
        <f>СРОКИ!BY3</f>
        <v/>
      </c>
      <c r="BZ3" s="34">
        <f>СРОКИ!BZ3</f>
        <v/>
      </c>
      <c r="CA3" s="34">
        <f>СРОКИ!CA3</f>
        <v/>
      </c>
      <c r="CB3" s="34">
        <f>СРОКИ!CB3</f>
        <v/>
      </c>
      <c r="CC3" s="34">
        <f>СРОКИ!CC3</f>
        <v/>
      </c>
      <c r="CD3" s="34">
        <f>СРОКИ!CD3</f>
        <v/>
      </c>
      <c r="CE3" s="34">
        <f>СРОКИ!CE3</f>
        <v/>
      </c>
      <c r="CF3" s="34">
        <f>СРОКИ!CF3</f>
        <v/>
      </c>
      <c r="CG3" s="34">
        <f>СРОКИ!CG3</f>
        <v/>
      </c>
      <c r="CH3" s="34">
        <f>СРОКИ!CH3</f>
        <v/>
      </c>
      <c r="CI3" s="34">
        <f>СРОКИ!CI3</f>
        <v/>
      </c>
      <c r="CJ3" s="34">
        <f>СРОКИ!CJ3</f>
        <v/>
      </c>
      <c r="CK3" s="34">
        <f>СРОКИ!CK3</f>
        <v/>
      </c>
      <c r="CL3" s="34">
        <f>СРОКИ!CL3</f>
        <v/>
      </c>
      <c r="CM3" s="34">
        <f>СРОКИ!CM3</f>
        <v/>
      </c>
      <c r="CN3" s="34">
        <f>СРОКИ!CN3</f>
        <v/>
      </c>
      <c r="CO3" s="34">
        <f>СРОКИ!CO3</f>
        <v/>
      </c>
      <c r="CP3" s="34">
        <f>СРОКИ!CP3</f>
        <v/>
      </c>
      <c r="CQ3" s="34">
        <f>СРОКИ!CQ3</f>
        <v/>
      </c>
      <c r="CR3" s="34">
        <f>СРОКИ!CR3</f>
        <v/>
      </c>
      <c r="CS3" s="34">
        <f>СРОКИ!CS3</f>
        <v/>
      </c>
      <c r="CT3" s="34">
        <f>СРОКИ!CT3</f>
        <v/>
      </c>
      <c r="CU3" s="34">
        <f>СРОКИ!CU3</f>
        <v/>
      </c>
      <c r="CV3" s="34">
        <f>СРОКИ!CV3</f>
        <v/>
      </c>
      <c r="CW3" s="34">
        <f>СРОКИ!CW3</f>
        <v/>
      </c>
      <c r="CX3" s="34">
        <f>СРОКИ!CX3</f>
        <v/>
      </c>
      <c r="CY3" s="34">
        <f>СРОКИ!CY3</f>
        <v/>
      </c>
      <c r="CZ3" s="34">
        <f>СРОКИ!CZ3</f>
        <v/>
      </c>
      <c r="DA3" s="34">
        <f>СРОКИ!DA3</f>
        <v/>
      </c>
      <c r="DB3" s="34">
        <f>СРОКИ!DB3</f>
        <v/>
      </c>
      <c r="DC3" s="34">
        <f>СРОКИ!DC3</f>
        <v/>
      </c>
      <c r="DD3" s="34">
        <f>СРОКИ!DD3</f>
        <v/>
      </c>
      <c r="DE3" s="34">
        <f>СРОКИ!DE3</f>
        <v/>
      </c>
      <c r="DF3" s="34">
        <f>СРОКИ!DF3</f>
        <v/>
      </c>
      <c r="DG3" s="34">
        <f>СРОКИ!DG3</f>
        <v/>
      </c>
      <c r="DH3" s="34">
        <f>СРОКИ!DH3</f>
        <v/>
      </c>
      <c r="DI3" s="34">
        <f>СРОКИ!DI3</f>
        <v/>
      </c>
      <c r="DJ3" s="34">
        <f>СРОКИ!DJ3</f>
        <v/>
      </c>
      <c r="DK3" s="34">
        <f>СРОКИ!DK3</f>
        <v/>
      </c>
      <c r="DL3" s="34">
        <f>СРОКИ!DL3</f>
        <v/>
      </c>
      <c r="DM3" s="34">
        <f>СРОКИ!DM3</f>
        <v/>
      </c>
    </row>
    <row r="4">
      <c r="A4" t="inlineStr">
        <is>
          <t>Период</t>
        </is>
      </c>
      <c r="C4" t="inlineStr">
        <is>
          <t>№</t>
        </is>
      </c>
      <c r="D4" s="35" t="n">
        <v>0</v>
      </c>
      <c r="E4" s="35" t="n">
        <v>1</v>
      </c>
      <c r="F4" s="35" t="n">
        <v>2</v>
      </c>
      <c r="G4" s="35" t="n">
        <v>3</v>
      </c>
      <c r="H4" s="35" t="n">
        <v>4</v>
      </c>
      <c r="I4" s="35" t="n">
        <v>5</v>
      </c>
      <c r="J4" s="35" t="n">
        <v>6</v>
      </c>
      <c r="K4" s="35" t="n">
        <v>7</v>
      </c>
      <c r="L4" s="35" t="n">
        <v>8</v>
      </c>
      <c r="M4" s="35" t="n">
        <v>9</v>
      </c>
      <c r="N4" s="35" t="n">
        <v>10</v>
      </c>
      <c r="O4" s="35" t="n">
        <v>11</v>
      </c>
      <c r="P4" s="35" t="n">
        <v>12</v>
      </c>
      <c r="Q4" s="35" t="n">
        <v>13</v>
      </c>
      <c r="R4" s="35" t="n">
        <v>14</v>
      </c>
      <c r="S4" s="35" t="n">
        <v>15</v>
      </c>
      <c r="T4" s="35" t="n">
        <v>16</v>
      </c>
      <c r="U4" s="35" t="n">
        <v>17</v>
      </c>
      <c r="V4" s="35" t="n">
        <v>18</v>
      </c>
      <c r="W4" s="35" t="n">
        <v>19</v>
      </c>
      <c r="X4" s="35" t="n">
        <v>20</v>
      </c>
      <c r="Y4" s="35" t="n">
        <v>21</v>
      </c>
      <c r="Z4" s="35" t="n">
        <v>22</v>
      </c>
      <c r="AA4" s="35" t="n">
        <v>23</v>
      </c>
      <c r="AB4" s="35" t="n">
        <v>24</v>
      </c>
      <c r="AC4" s="35" t="n">
        <v>25</v>
      </c>
      <c r="AD4" s="35" t="n">
        <v>26</v>
      </c>
      <c r="AE4" s="35" t="n">
        <v>27</v>
      </c>
      <c r="AF4" s="35" t="n">
        <v>28</v>
      </c>
      <c r="AG4" s="35" t="n">
        <v>29</v>
      </c>
      <c r="AH4" s="35" t="n">
        <v>30</v>
      </c>
      <c r="AI4" s="35" t="n">
        <v>31</v>
      </c>
      <c r="AJ4" s="35" t="n">
        <v>32</v>
      </c>
      <c r="AK4" s="35" t="n">
        <v>33</v>
      </c>
      <c r="AL4" s="35" t="n">
        <v>34</v>
      </c>
      <c r="AM4" s="35" t="n">
        <v>35</v>
      </c>
      <c r="AN4" s="35" t="n">
        <v>36</v>
      </c>
      <c r="AO4" s="35" t="n">
        <v>37</v>
      </c>
      <c r="AP4" s="35" t="n">
        <v>38</v>
      </c>
      <c r="AQ4" s="35" t="n">
        <v>39</v>
      </c>
      <c r="AR4" s="35" t="n">
        <v>40</v>
      </c>
      <c r="AS4" s="35" t="n">
        <v>41</v>
      </c>
      <c r="AT4" s="35" t="n">
        <v>42</v>
      </c>
      <c r="AU4" s="35" t="n">
        <v>43</v>
      </c>
      <c r="AV4" s="35" t="n">
        <v>44</v>
      </c>
      <c r="AW4" s="35" t="n">
        <v>45</v>
      </c>
      <c r="AX4" s="35" t="n">
        <v>46</v>
      </c>
      <c r="AY4" s="35" t="n">
        <v>47</v>
      </c>
      <c r="AZ4" s="35" t="n">
        <v>48</v>
      </c>
      <c r="BA4" s="35" t="n">
        <v>49</v>
      </c>
      <c r="BB4" s="35" t="n">
        <v>50</v>
      </c>
      <c r="BC4" s="35" t="n">
        <v>51</v>
      </c>
      <c r="BD4" s="35" t="n">
        <v>52</v>
      </c>
      <c r="BE4" s="35" t="n">
        <v>53</v>
      </c>
      <c r="BF4" s="35" t="n">
        <v>54</v>
      </c>
      <c r="BG4" s="35" t="n">
        <v>55</v>
      </c>
      <c r="BH4" s="35" t="n">
        <v>56</v>
      </c>
      <c r="BI4" s="35" t="n">
        <v>57</v>
      </c>
      <c r="BJ4" s="35" t="n">
        <v>58</v>
      </c>
      <c r="BK4" s="35" t="n">
        <v>59</v>
      </c>
      <c r="BL4" s="35" t="n">
        <v>60</v>
      </c>
      <c r="BM4" s="35" t="n">
        <v>61</v>
      </c>
      <c r="BN4" s="35" t="n">
        <v>62</v>
      </c>
      <c r="BO4" s="35" t="n">
        <v>63</v>
      </c>
      <c r="BP4" s="35" t="n">
        <v>64</v>
      </c>
      <c r="BQ4" s="35" t="n">
        <v>65</v>
      </c>
      <c r="BR4" s="35" t="n">
        <v>66</v>
      </c>
      <c r="BS4" s="35" t="n">
        <v>67</v>
      </c>
      <c r="BT4" s="35" t="n">
        <v>68</v>
      </c>
      <c r="BU4" s="35" t="n">
        <v>69</v>
      </c>
      <c r="BV4" s="35" t="n">
        <v>70</v>
      </c>
      <c r="BW4" s="35" t="n">
        <v>71</v>
      </c>
      <c r="BX4" s="35" t="n">
        <v>72</v>
      </c>
      <c r="BY4" s="35" t="n">
        <v>73</v>
      </c>
      <c r="BZ4" s="35" t="n">
        <v>74</v>
      </c>
      <c r="CA4" s="35" t="n">
        <v>75</v>
      </c>
      <c r="CB4" s="35" t="n">
        <v>76</v>
      </c>
      <c r="CC4" s="35" t="n">
        <v>77</v>
      </c>
      <c r="CD4" s="35" t="n">
        <v>78</v>
      </c>
      <c r="CE4" s="35" t="n">
        <v>79</v>
      </c>
      <c r="CF4" s="35" t="n">
        <v>80</v>
      </c>
      <c r="CG4" s="35" t="n">
        <v>81</v>
      </c>
      <c r="CH4" s="35" t="n">
        <v>82</v>
      </c>
      <c r="CI4" s="35" t="n">
        <v>83</v>
      </c>
      <c r="CJ4" s="35" t="n">
        <v>84</v>
      </c>
      <c r="CK4" s="35" t="n">
        <v>85</v>
      </c>
      <c r="CL4" s="35" t="n">
        <v>86</v>
      </c>
      <c r="CM4" s="35" t="n">
        <v>87</v>
      </c>
      <c r="CN4" s="35" t="n">
        <v>88</v>
      </c>
      <c r="CO4" s="35" t="n">
        <v>89</v>
      </c>
      <c r="CP4" s="35" t="n">
        <v>90</v>
      </c>
      <c r="CQ4" s="35" t="n">
        <v>91</v>
      </c>
      <c r="CR4" s="35" t="n">
        <v>92</v>
      </c>
      <c r="CS4" s="35" t="n">
        <v>93</v>
      </c>
      <c r="CT4" s="35" t="n">
        <v>94</v>
      </c>
      <c r="CU4" s="35" t="n">
        <v>95</v>
      </c>
      <c r="CV4" s="35" t="n">
        <v>96</v>
      </c>
      <c r="CW4" s="35" t="n">
        <v>97</v>
      </c>
      <c r="CX4" s="35" t="n">
        <v>98</v>
      </c>
      <c r="CY4" s="35" t="n">
        <v>99</v>
      </c>
      <c r="CZ4" s="35" t="n">
        <v>100</v>
      </c>
      <c r="DA4" s="35" t="n">
        <v>101</v>
      </c>
      <c r="DB4" s="35" t="n">
        <v>102</v>
      </c>
      <c r="DC4" s="35" t="n">
        <v>103</v>
      </c>
      <c r="DD4" s="35" t="n">
        <v>104</v>
      </c>
      <c r="DE4" s="35" t="n">
        <v>105</v>
      </c>
      <c r="DF4" s="35" t="n">
        <v>106</v>
      </c>
      <c r="DG4" s="35" t="n">
        <v>107</v>
      </c>
      <c r="DH4" s="35" t="n">
        <v>108</v>
      </c>
      <c r="DI4" s="35" t="n">
        <v>109</v>
      </c>
      <c r="DJ4" s="35" t="n">
        <v>110</v>
      </c>
      <c r="DK4" s="35" t="n">
        <v>111</v>
      </c>
      <c r="DL4" s="35" t="n">
        <v>112</v>
      </c>
      <c r="DM4" s="35" t="n">
        <v>113</v>
      </c>
    </row>
    <row r="5">
      <c r="A5" s="36" t="inlineStr">
        <is>
          <t>Заполняемость</t>
        </is>
      </c>
      <c r="B5" s="10" t="n"/>
      <c r="C5" s="37" t="inlineStr"/>
      <c r="D5" s="46">
        <f>IF('СРОКИ'!D14&lt;=0,0,MIN('Вводные'!$B$47,'Вводные'!$F$32)+('Вводные'!$F$32-MIN('Вводные'!$B$47,'Вводные'!$F$32))*IF('Вводные'!$F$33&lt;=1,1,MIN(1,MAX(0,('СРОКИ'!D14-1)/('Вводные'!$F$33-1)))))</f>
        <v/>
      </c>
      <c r="E5" s="46">
        <f>IF('СРОКИ'!E14&lt;=0,0,MIN('Вводные'!$B$47,'Вводные'!$F$32)+('Вводные'!$F$32-MIN('Вводные'!$B$47,'Вводные'!$F$32))*IF('Вводные'!$F$33&lt;=1,1,MIN(1,MAX(0,('СРОКИ'!E14-1)/('Вводные'!$F$33-1)))))</f>
        <v/>
      </c>
      <c r="F5" s="46">
        <f>IF('СРОКИ'!F14&lt;=0,0,MIN('Вводные'!$B$47,'Вводные'!$F$32)+('Вводные'!$F$32-MIN('Вводные'!$B$47,'Вводные'!$F$32))*IF('Вводные'!$F$33&lt;=1,1,MIN(1,MAX(0,('СРОКИ'!F14-1)/('Вводные'!$F$33-1)))))</f>
        <v/>
      </c>
      <c r="G5" s="46">
        <f>IF('СРОКИ'!G14&lt;=0,0,MIN('Вводные'!$B$47,'Вводные'!$F$32)+('Вводные'!$F$32-MIN('Вводные'!$B$47,'Вводные'!$F$32))*IF('Вводные'!$F$33&lt;=1,1,MIN(1,MAX(0,('СРОКИ'!G14-1)/('Вводные'!$F$33-1)))))</f>
        <v/>
      </c>
      <c r="H5" s="46">
        <f>IF('СРОКИ'!H14&lt;=0,0,MIN('Вводные'!$B$47,'Вводные'!$F$32)+('Вводные'!$F$32-MIN('Вводные'!$B$47,'Вводные'!$F$32))*IF('Вводные'!$F$33&lt;=1,1,MIN(1,MAX(0,('СРОКИ'!H14-1)/('Вводные'!$F$33-1)))))</f>
        <v/>
      </c>
      <c r="I5" s="46">
        <f>IF('СРОКИ'!I14&lt;=0,0,MIN('Вводные'!$B$47,'Вводные'!$F$32)+('Вводные'!$F$32-MIN('Вводные'!$B$47,'Вводные'!$F$32))*IF('Вводные'!$F$33&lt;=1,1,MIN(1,MAX(0,('СРОКИ'!I14-1)/('Вводные'!$F$33-1)))))</f>
        <v/>
      </c>
      <c r="J5" s="46">
        <f>IF('СРОКИ'!J14&lt;=0,0,MIN('Вводные'!$B$47,'Вводные'!$F$32)+('Вводные'!$F$32-MIN('Вводные'!$B$47,'Вводные'!$F$32))*IF('Вводные'!$F$33&lt;=1,1,MIN(1,MAX(0,('СРОКИ'!J14-1)/('Вводные'!$F$33-1)))))</f>
        <v/>
      </c>
      <c r="K5" s="46">
        <f>IF('СРОКИ'!K14&lt;=0,0,MIN('Вводные'!$B$47,'Вводные'!$F$32)+('Вводные'!$F$32-MIN('Вводные'!$B$47,'Вводные'!$F$32))*IF('Вводные'!$F$33&lt;=1,1,MIN(1,MAX(0,('СРОКИ'!K14-1)/('Вводные'!$F$33-1)))))</f>
        <v/>
      </c>
      <c r="L5" s="46">
        <f>IF('СРОКИ'!L14&lt;=0,0,MIN('Вводные'!$B$47,'Вводные'!$F$32)+('Вводные'!$F$32-MIN('Вводные'!$B$47,'Вводные'!$F$32))*IF('Вводные'!$F$33&lt;=1,1,MIN(1,MAX(0,('СРОКИ'!L14-1)/('Вводные'!$F$33-1)))))</f>
        <v/>
      </c>
      <c r="M5" s="46">
        <f>IF('СРОКИ'!M14&lt;=0,0,MIN('Вводные'!$B$47,'Вводные'!$F$32)+('Вводные'!$F$32-MIN('Вводные'!$B$47,'Вводные'!$F$32))*IF('Вводные'!$F$33&lt;=1,1,MIN(1,MAX(0,('СРОКИ'!M14-1)/('Вводные'!$F$33-1)))))</f>
        <v/>
      </c>
      <c r="N5" s="46">
        <f>IF('СРОКИ'!N14&lt;=0,0,MIN('Вводные'!$B$47,'Вводные'!$F$32)+('Вводные'!$F$32-MIN('Вводные'!$B$47,'Вводные'!$F$32))*IF('Вводные'!$F$33&lt;=1,1,MIN(1,MAX(0,('СРОКИ'!N14-1)/('Вводные'!$F$33-1)))))</f>
        <v/>
      </c>
      <c r="O5" s="46">
        <f>IF('СРОКИ'!O14&lt;=0,0,MIN('Вводные'!$B$47,'Вводные'!$F$32)+('Вводные'!$F$32-MIN('Вводные'!$B$47,'Вводные'!$F$32))*IF('Вводные'!$F$33&lt;=1,1,MIN(1,MAX(0,('СРОКИ'!O14-1)/('Вводные'!$F$33-1)))))</f>
        <v/>
      </c>
      <c r="P5" s="46">
        <f>IF('СРОКИ'!P14&lt;=0,0,MIN('Вводные'!$B$47,'Вводные'!$F$32)+('Вводные'!$F$32-MIN('Вводные'!$B$47,'Вводные'!$F$32))*IF('Вводные'!$F$33&lt;=1,1,MIN(1,MAX(0,('СРОКИ'!P14-1)/('Вводные'!$F$33-1)))))</f>
        <v/>
      </c>
      <c r="Q5" s="46">
        <f>IF('СРОКИ'!Q14&lt;=0,0,MIN('Вводные'!$B$47,'Вводные'!$F$32)+('Вводные'!$F$32-MIN('Вводные'!$B$47,'Вводные'!$F$32))*IF('Вводные'!$F$33&lt;=1,1,MIN(1,MAX(0,('СРОКИ'!Q14-1)/('Вводные'!$F$33-1)))))</f>
        <v/>
      </c>
      <c r="R5" s="46">
        <f>IF('СРОКИ'!R14&lt;=0,0,MIN('Вводные'!$B$47,'Вводные'!$F$32)+('Вводные'!$F$32-MIN('Вводные'!$B$47,'Вводные'!$F$32))*IF('Вводные'!$F$33&lt;=1,1,MIN(1,MAX(0,('СРОКИ'!R14-1)/('Вводные'!$F$33-1)))))</f>
        <v/>
      </c>
      <c r="S5" s="46">
        <f>IF('СРОКИ'!S14&lt;=0,0,MIN('Вводные'!$B$47,'Вводные'!$F$32)+('Вводные'!$F$32-MIN('Вводные'!$B$47,'Вводные'!$F$32))*IF('Вводные'!$F$33&lt;=1,1,MIN(1,MAX(0,('СРОКИ'!S14-1)/('Вводные'!$F$33-1)))))</f>
        <v/>
      </c>
      <c r="T5" s="46">
        <f>IF('СРОКИ'!T14&lt;=0,0,MIN('Вводные'!$B$47,'Вводные'!$F$32)+('Вводные'!$F$32-MIN('Вводные'!$B$47,'Вводные'!$F$32))*IF('Вводные'!$F$33&lt;=1,1,MIN(1,MAX(0,('СРОКИ'!T14-1)/('Вводные'!$F$33-1)))))</f>
        <v/>
      </c>
      <c r="U5" s="46">
        <f>IF('СРОКИ'!U14&lt;=0,0,MIN('Вводные'!$B$47,'Вводные'!$F$32)+('Вводные'!$F$32-MIN('Вводные'!$B$47,'Вводные'!$F$32))*IF('Вводные'!$F$33&lt;=1,1,MIN(1,MAX(0,('СРОКИ'!U14-1)/('Вводные'!$F$33-1)))))</f>
        <v/>
      </c>
      <c r="V5" s="46">
        <f>IF('СРОКИ'!V14&lt;=0,0,MIN('Вводные'!$B$47,'Вводные'!$F$32)+('Вводные'!$F$32-MIN('Вводные'!$B$47,'Вводные'!$F$32))*IF('Вводные'!$F$33&lt;=1,1,MIN(1,MAX(0,('СРОКИ'!V14-1)/('Вводные'!$F$33-1)))))</f>
        <v/>
      </c>
      <c r="W5" s="46">
        <f>IF('СРОКИ'!W14&lt;=0,0,MIN('Вводные'!$B$47,'Вводные'!$F$32)+('Вводные'!$F$32-MIN('Вводные'!$B$47,'Вводные'!$F$32))*IF('Вводные'!$F$33&lt;=1,1,MIN(1,MAX(0,('СРОКИ'!W14-1)/('Вводные'!$F$33-1)))))</f>
        <v/>
      </c>
      <c r="X5" s="46">
        <f>IF('СРОКИ'!X14&lt;=0,0,MIN('Вводные'!$B$47,'Вводные'!$F$32)+('Вводные'!$F$32-MIN('Вводные'!$B$47,'Вводные'!$F$32))*IF('Вводные'!$F$33&lt;=1,1,MIN(1,MAX(0,('СРОКИ'!X14-1)/('Вводные'!$F$33-1)))))</f>
        <v/>
      </c>
      <c r="Y5" s="46">
        <f>IF('СРОКИ'!Y14&lt;=0,0,MIN('Вводные'!$B$47,'Вводные'!$F$32)+('Вводные'!$F$32-MIN('Вводные'!$B$47,'Вводные'!$F$32))*IF('Вводные'!$F$33&lt;=1,1,MIN(1,MAX(0,('СРОКИ'!Y14-1)/('Вводные'!$F$33-1)))))</f>
        <v/>
      </c>
      <c r="Z5" s="46">
        <f>IF('СРОКИ'!Z14&lt;=0,0,MIN('Вводные'!$B$47,'Вводные'!$F$32)+('Вводные'!$F$32-MIN('Вводные'!$B$47,'Вводные'!$F$32))*IF('Вводные'!$F$33&lt;=1,1,MIN(1,MAX(0,('СРОКИ'!Z14-1)/('Вводные'!$F$33-1)))))</f>
        <v/>
      </c>
      <c r="AA5" s="46">
        <f>IF('СРОКИ'!AA14&lt;=0,0,MIN('Вводные'!$B$47,'Вводные'!$F$32)+('Вводные'!$F$32-MIN('Вводные'!$B$47,'Вводные'!$F$32))*IF('Вводные'!$F$33&lt;=1,1,MIN(1,MAX(0,('СРОКИ'!AA14-1)/('Вводные'!$F$33-1)))))</f>
        <v/>
      </c>
      <c r="AB5" s="46">
        <f>IF('СРОКИ'!AB14&lt;=0,0,MIN('Вводные'!$B$47,'Вводные'!$F$32)+('Вводные'!$F$32-MIN('Вводные'!$B$47,'Вводные'!$F$32))*IF('Вводные'!$F$33&lt;=1,1,MIN(1,MAX(0,('СРОКИ'!AB14-1)/('Вводные'!$F$33-1)))))</f>
        <v/>
      </c>
      <c r="AC5" s="46">
        <f>IF('СРОКИ'!AC14&lt;=0,0,MIN('Вводные'!$B$47,'Вводные'!$F$32)+('Вводные'!$F$32-MIN('Вводные'!$B$47,'Вводные'!$F$32))*IF('Вводные'!$F$33&lt;=1,1,MIN(1,MAX(0,('СРОКИ'!AC14-1)/('Вводные'!$F$33-1)))))</f>
        <v/>
      </c>
      <c r="AD5" s="46">
        <f>IF('СРОКИ'!AD14&lt;=0,0,MIN('Вводные'!$B$47,'Вводные'!$F$32)+('Вводные'!$F$32-MIN('Вводные'!$B$47,'Вводные'!$F$32))*IF('Вводные'!$F$33&lt;=1,1,MIN(1,MAX(0,('СРОКИ'!AD14-1)/('Вводные'!$F$33-1)))))</f>
        <v/>
      </c>
      <c r="AE5" s="46">
        <f>IF('СРОКИ'!AE14&lt;=0,0,MIN('Вводные'!$B$47,'Вводные'!$F$32)+('Вводные'!$F$32-MIN('Вводные'!$B$47,'Вводные'!$F$32))*IF('Вводные'!$F$33&lt;=1,1,MIN(1,MAX(0,('СРОКИ'!AE14-1)/('Вводные'!$F$33-1)))))</f>
        <v/>
      </c>
      <c r="AF5" s="46">
        <f>IF('СРОКИ'!AF14&lt;=0,0,MIN('Вводные'!$B$47,'Вводные'!$F$32)+('Вводные'!$F$32-MIN('Вводные'!$B$47,'Вводные'!$F$32))*IF('Вводные'!$F$33&lt;=1,1,MIN(1,MAX(0,('СРОКИ'!AF14-1)/('Вводные'!$F$33-1)))))</f>
        <v/>
      </c>
      <c r="AG5" s="46">
        <f>IF('СРОКИ'!AG14&lt;=0,0,MIN('Вводные'!$B$47,'Вводные'!$F$32)+('Вводные'!$F$32-MIN('Вводные'!$B$47,'Вводные'!$F$32))*IF('Вводные'!$F$33&lt;=1,1,MIN(1,MAX(0,('СРОКИ'!AG14-1)/('Вводные'!$F$33-1)))))</f>
        <v/>
      </c>
      <c r="AH5" s="46">
        <f>IF('СРОКИ'!AH14&lt;=0,0,MIN('Вводные'!$B$47,'Вводные'!$F$32)+('Вводные'!$F$32-MIN('Вводные'!$B$47,'Вводные'!$F$32))*IF('Вводные'!$F$33&lt;=1,1,MIN(1,MAX(0,('СРОКИ'!AH14-1)/('Вводные'!$F$33-1)))))</f>
        <v/>
      </c>
      <c r="AI5" s="46">
        <f>IF('СРОКИ'!AI14&lt;=0,0,MIN('Вводные'!$B$47,'Вводные'!$F$32)+('Вводные'!$F$32-MIN('Вводные'!$B$47,'Вводные'!$F$32))*IF('Вводные'!$F$33&lt;=1,1,MIN(1,MAX(0,('СРОКИ'!AI14-1)/('Вводные'!$F$33-1)))))</f>
        <v/>
      </c>
      <c r="AJ5" s="46">
        <f>IF('СРОКИ'!AJ14&lt;=0,0,MIN('Вводные'!$B$47,'Вводные'!$F$32)+('Вводные'!$F$32-MIN('Вводные'!$B$47,'Вводные'!$F$32))*IF('Вводные'!$F$33&lt;=1,1,MIN(1,MAX(0,('СРОКИ'!AJ14-1)/('Вводные'!$F$33-1)))))</f>
        <v/>
      </c>
      <c r="AK5" s="46">
        <f>IF('СРОКИ'!AK14&lt;=0,0,MIN('Вводные'!$B$47,'Вводные'!$F$32)+('Вводные'!$F$32-MIN('Вводные'!$B$47,'Вводные'!$F$32))*IF('Вводные'!$F$33&lt;=1,1,MIN(1,MAX(0,('СРОКИ'!AK14-1)/('Вводные'!$F$33-1)))))</f>
        <v/>
      </c>
      <c r="AL5" s="46">
        <f>IF('СРОКИ'!AL14&lt;=0,0,MIN('Вводные'!$B$47,'Вводные'!$F$32)+('Вводные'!$F$32-MIN('Вводные'!$B$47,'Вводные'!$F$32))*IF('Вводные'!$F$33&lt;=1,1,MIN(1,MAX(0,('СРОКИ'!AL14-1)/('Вводные'!$F$33-1)))))</f>
        <v/>
      </c>
      <c r="AM5" s="46">
        <f>IF('СРОКИ'!AM14&lt;=0,0,MIN('Вводные'!$B$47,'Вводные'!$F$32)+('Вводные'!$F$32-MIN('Вводные'!$B$47,'Вводные'!$F$32))*IF('Вводные'!$F$33&lt;=1,1,MIN(1,MAX(0,('СРОКИ'!AM14-1)/('Вводные'!$F$33-1)))))</f>
        <v/>
      </c>
      <c r="AN5" s="46">
        <f>IF('СРОКИ'!AN14&lt;=0,0,MIN('Вводные'!$B$47,'Вводные'!$F$32)+('Вводные'!$F$32-MIN('Вводные'!$B$47,'Вводные'!$F$32))*IF('Вводные'!$F$33&lt;=1,1,MIN(1,MAX(0,('СРОКИ'!AN14-1)/('Вводные'!$F$33-1)))))</f>
        <v/>
      </c>
      <c r="AO5" s="46">
        <f>IF('СРОКИ'!AO14&lt;=0,0,MIN('Вводные'!$B$47,'Вводные'!$F$32)+('Вводные'!$F$32-MIN('Вводные'!$B$47,'Вводные'!$F$32))*IF('Вводные'!$F$33&lt;=1,1,MIN(1,MAX(0,('СРОКИ'!AO14-1)/('Вводные'!$F$33-1)))))</f>
        <v/>
      </c>
      <c r="AP5" s="46">
        <f>IF('СРОКИ'!AP14&lt;=0,0,MIN('Вводные'!$B$47,'Вводные'!$F$32)+('Вводные'!$F$32-MIN('Вводные'!$B$47,'Вводные'!$F$32))*IF('Вводные'!$F$33&lt;=1,1,MIN(1,MAX(0,('СРОКИ'!AP14-1)/('Вводные'!$F$33-1)))))</f>
        <v/>
      </c>
      <c r="AQ5" s="46">
        <f>IF('СРОКИ'!AQ14&lt;=0,0,MIN('Вводные'!$B$47,'Вводные'!$F$32)+('Вводные'!$F$32-MIN('Вводные'!$B$47,'Вводные'!$F$32))*IF('Вводные'!$F$33&lt;=1,1,MIN(1,MAX(0,('СРОКИ'!AQ14-1)/('Вводные'!$F$33-1)))))</f>
        <v/>
      </c>
      <c r="AR5" s="46">
        <f>IF('СРОКИ'!AR14&lt;=0,0,MIN('Вводные'!$B$47,'Вводные'!$F$32)+('Вводные'!$F$32-MIN('Вводные'!$B$47,'Вводные'!$F$32))*IF('Вводные'!$F$33&lt;=1,1,MIN(1,MAX(0,('СРОКИ'!AR14-1)/('Вводные'!$F$33-1)))))</f>
        <v/>
      </c>
      <c r="AS5" s="46">
        <f>IF('СРОКИ'!AS14&lt;=0,0,MIN('Вводные'!$B$47,'Вводные'!$F$32)+('Вводные'!$F$32-MIN('Вводные'!$B$47,'Вводные'!$F$32))*IF('Вводные'!$F$33&lt;=1,1,MIN(1,MAX(0,('СРОКИ'!AS14-1)/('Вводные'!$F$33-1)))))</f>
        <v/>
      </c>
      <c r="AT5" s="46">
        <f>IF('СРОКИ'!AT14&lt;=0,0,MIN('Вводные'!$B$47,'Вводные'!$F$32)+('Вводные'!$F$32-MIN('Вводные'!$B$47,'Вводные'!$F$32))*IF('Вводные'!$F$33&lt;=1,1,MIN(1,MAX(0,('СРОКИ'!AT14-1)/('Вводные'!$F$33-1)))))</f>
        <v/>
      </c>
      <c r="AU5" s="46">
        <f>IF('СРОКИ'!AU14&lt;=0,0,MIN('Вводные'!$B$47,'Вводные'!$F$32)+('Вводные'!$F$32-MIN('Вводные'!$B$47,'Вводные'!$F$32))*IF('Вводные'!$F$33&lt;=1,1,MIN(1,MAX(0,('СРОКИ'!AU14-1)/('Вводные'!$F$33-1)))))</f>
        <v/>
      </c>
      <c r="AV5" s="46">
        <f>IF('СРОКИ'!AV14&lt;=0,0,MIN('Вводные'!$B$47,'Вводные'!$F$32)+('Вводные'!$F$32-MIN('Вводные'!$B$47,'Вводные'!$F$32))*IF('Вводные'!$F$33&lt;=1,1,MIN(1,MAX(0,('СРОКИ'!AV14-1)/('Вводные'!$F$33-1)))))</f>
        <v/>
      </c>
      <c r="AW5" s="46">
        <f>IF('СРОКИ'!AW14&lt;=0,0,MIN('Вводные'!$B$47,'Вводные'!$F$32)+('Вводные'!$F$32-MIN('Вводные'!$B$47,'Вводные'!$F$32))*IF('Вводные'!$F$33&lt;=1,1,MIN(1,MAX(0,('СРОКИ'!AW14-1)/('Вводные'!$F$33-1)))))</f>
        <v/>
      </c>
      <c r="AX5" s="46">
        <f>IF('СРОКИ'!AX14&lt;=0,0,MIN('Вводные'!$B$47,'Вводные'!$F$32)+('Вводные'!$F$32-MIN('Вводные'!$B$47,'Вводные'!$F$32))*IF('Вводные'!$F$33&lt;=1,1,MIN(1,MAX(0,('СРОКИ'!AX14-1)/('Вводные'!$F$33-1)))))</f>
        <v/>
      </c>
      <c r="AY5" s="46">
        <f>IF('СРОКИ'!AY14&lt;=0,0,MIN('Вводные'!$B$47,'Вводные'!$F$32)+('Вводные'!$F$32-MIN('Вводные'!$B$47,'Вводные'!$F$32))*IF('Вводные'!$F$33&lt;=1,1,MIN(1,MAX(0,('СРОКИ'!AY14-1)/('Вводные'!$F$33-1)))))</f>
        <v/>
      </c>
      <c r="AZ5" s="46">
        <f>IF('СРОКИ'!AZ14&lt;=0,0,MIN('Вводные'!$B$47,'Вводные'!$F$32)+('Вводные'!$F$32-MIN('Вводные'!$B$47,'Вводные'!$F$32))*IF('Вводные'!$F$33&lt;=1,1,MIN(1,MAX(0,('СРОКИ'!AZ14-1)/('Вводные'!$F$33-1)))))</f>
        <v/>
      </c>
      <c r="BA5" s="46">
        <f>IF('СРОКИ'!BA14&lt;=0,0,MIN('Вводные'!$B$47,'Вводные'!$F$32)+('Вводные'!$F$32-MIN('Вводные'!$B$47,'Вводные'!$F$32))*IF('Вводные'!$F$33&lt;=1,1,MIN(1,MAX(0,('СРОКИ'!BA14-1)/('Вводные'!$F$33-1)))))</f>
        <v/>
      </c>
      <c r="BB5" s="46">
        <f>IF('СРОКИ'!BB14&lt;=0,0,MIN('Вводные'!$B$47,'Вводные'!$F$32)+('Вводные'!$F$32-MIN('Вводные'!$B$47,'Вводные'!$F$32))*IF('Вводные'!$F$33&lt;=1,1,MIN(1,MAX(0,('СРОКИ'!BB14-1)/('Вводные'!$F$33-1)))))</f>
        <v/>
      </c>
      <c r="BC5" s="46">
        <f>IF('СРОКИ'!BC14&lt;=0,0,MIN('Вводные'!$B$47,'Вводные'!$F$32)+('Вводные'!$F$32-MIN('Вводные'!$B$47,'Вводные'!$F$32))*IF('Вводные'!$F$33&lt;=1,1,MIN(1,MAX(0,('СРОКИ'!BC14-1)/('Вводные'!$F$33-1)))))</f>
        <v/>
      </c>
      <c r="BD5" s="46">
        <f>IF('СРОКИ'!BD14&lt;=0,0,MIN('Вводные'!$B$47,'Вводные'!$F$32)+('Вводные'!$F$32-MIN('Вводные'!$B$47,'Вводные'!$F$32))*IF('Вводные'!$F$33&lt;=1,1,MIN(1,MAX(0,('СРОКИ'!BD14-1)/('Вводные'!$F$33-1)))))</f>
        <v/>
      </c>
      <c r="BE5" s="46">
        <f>IF('СРОКИ'!BE14&lt;=0,0,MIN('Вводные'!$B$47,'Вводные'!$F$32)+('Вводные'!$F$32-MIN('Вводные'!$B$47,'Вводные'!$F$32))*IF('Вводные'!$F$33&lt;=1,1,MIN(1,MAX(0,('СРОКИ'!BE14-1)/('Вводные'!$F$33-1)))))</f>
        <v/>
      </c>
      <c r="BF5" s="46">
        <f>IF('СРОКИ'!BF14&lt;=0,0,MIN('Вводные'!$B$47,'Вводные'!$F$32)+('Вводные'!$F$32-MIN('Вводные'!$B$47,'Вводные'!$F$32))*IF('Вводные'!$F$33&lt;=1,1,MIN(1,MAX(0,('СРОКИ'!BF14-1)/('Вводные'!$F$33-1)))))</f>
        <v/>
      </c>
      <c r="BG5" s="46">
        <f>IF('СРОКИ'!BG14&lt;=0,0,MIN('Вводные'!$B$47,'Вводные'!$F$32)+('Вводные'!$F$32-MIN('Вводные'!$B$47,'Вводные'!$F$32))*IF('Вводные'!$F$33&lt;=1,1,MIN(1,MAX(0,('СРОКИ'!BG14-1)/('Вводные'!$F$33-1)))))</f>
        <v/>
      </c>
      <c r="BH5" s="46">
        <f>IF('СРОКИ'!BH14&lt;=0,0,MIN('Вводные'!$B$47,'Вводные'!$F$32)+('Вводные'!$F$32-MIN('Вводные'!$B$47,'Вводные'!$F$32))*IF('Вводные'!$F$33&lt;=1,1,MIN(1,MAX(0,('СРОКИ'!BH14-1)/('Вводные'!$F$33-1)))))</f>
        <v/>
      </c>
      <c r="BI5" s="46">
        <f>IF('СРОКИ'!BI14&lt;=0,0,MIN('Вводные'!$B$47,'Вводные'!$F$32)+('Вводные'!$F$32-MIN('Вводные'!$B$47,'Вводные'!$F$32))*IF('Вводные'!$F$33&lt;=1,1,MIN(1,MAX(0,('СРОКИ'!BI14-1)/('Вводные'!$F$33-1)))))</f>
        <v/>
      </c>
      <c r="BJ5" s="46">
        <f>IF('СРОКИ'!BJ14&lt;=0,0,MIN('Вводные'!$B$47,'Вводные'!$F$32)+('Вводные'!$F$32-MIN('Вводные'!$B$47,'Вводные'!$F$32))*IF('Вводные'!$F$33&lt;=1,1,MIN(1,MAX(0,('СРОКИ'!BJ14-1)/('Вводные'!$F$33-1)))))</f>
        <v/>
      </c>
      <c r="BK5" s="46">
        <f>IF('СРОКИ'!BK14&lt;=0,0,MIN('Вводные'!$B$47,'Вводные'!$F$32)+('Вводные'!$F$32-MIN('Вводные'!$B$47,'Вводные'!$F$32))*IF('Вводные'!$F$33&lt;=1,1,MIN(1,MAX(0,('СРОКИ'!BK14-1)/('Вводные'!$F$33-1)))))</f>
        <v/>
      </c>
      <c r="BL5" s="46">
        <f>IF('СРОКИ'!BL14&lt;=0,0,MIN('Вводные'!$B$47,'Вводные'!$F$32)+('Вводные'!$F$32-MIN('Вводные'!$B$47,'Вводные'!$F$32))*IF('Вводные'!$F$33&lt;=1,1,MIN(1,MAX(0,('СРОКИ'!BL14-1)/('Вводные'!$F$33-1)))))</f>
        <v/>
      </c>
      <c r="BM5" s="46">
        <f>IF('СРОКИ'!BM14&lt;=0,0,MIN('Вводные'!$B$47,'Вводные'!$F$32)+('Вводные'!$F$32-MIN('Вводные'!$B$47,'Вводные'!$F$32))*IF('Вводные'!$F$33&lt;=1,1,MIN(1,MAX(0,('СРОКИ'!BM14-1)/('Вводные'!$F$33-1)))))</f>
        <v/>
      </c>
      <c r="BN5" s="46">
        <f>IF('СРОКИ'!BN14&lt;=0,0,MIN('Вводные'!$B$47,'Вводные'!$F$32)+('Вводные'!$F$32-MIN('Вводные'!$B$47,'Вводные'!$F$32))*IF('Вводные'!$F$33&lt;=1,1,MIN(1,MAX(0,('СРОКИ'!BN14-1)/('Вводные'!$F$33-1)))))</f>
        <v/>
      </c>
      <c r="BO5" s="46">
        <f>IF('СРОКИ'!BO14&lt;=0,0,MIN('Вводные'!$B$47,'Вводные'!$F$32)+('Вводные'!$F$32-MIN('Вводные'!$B$47,'Вводные'!$F$32))*IF('Вводные'!$F$33&lt;=1,1,MIN(1,MAX(0,('СРОКИ'!BO14-1)/('Вводные'!$F$33-1)))))</f>
        <v/>
      </c>
      <c r="BP5" s="46">
        <f>IF('СРОКИ'!BP14&lt;=0,0,MIN('Вводные'!$B$47,'Вводные'!$F$32)+('Вводные'!$F$32-MIN('Вводные'!$B$47,'Вводные'!$F$32))*IF('Вводные'!$F$33&lt;=1,1,MIN(1,MAX(0,('СРОКИ'!BP14-1)/('Вводные'!$F$33-1)))))</f>
        <v/>
      </c>
      <c r="BQ5" s="46">
        <f>IF('СРОКИ'!BQ14&lt;=0,0,MIN('Вводные'!$B$47,'Вводные'!$F$32)+('Вводные'!$F$32-MIN('Вводные'!$B$47,'Вводные'!$F$32))*IF('Вводные'!$F$33&lt;=1,1,MIN(1,MAX(0,('СРОКИ'!BQ14-1)/('Вводные'!$F$33-1)))))</f>
        <v/>
      </c>
      <c r="BR5" s="46">
        <f>IF('СРОКИ'!BR14&lt;=0,0,MIN('Вводные'!$B$47,'Вводные'!$F$32)+('Вводные'!$F$32-MIN('Вводные'!$B$47,'Вводные'!$F$32))*IF('Вводные'!$F$33&lt;=1,1,MIN(1,MAX(0,('СРОКИ'!BR14-1)/('Вводные'!$F$33-1)))))</f>
        <v/>
      </c>
      <c r="BS5" s="46">
        <f>IF('СРОКИ'!BS14&lt;=0,0,MIN('Вводные'!$B$47,'Вводные'!$F$32)+('Вводные'!$F$32-MIN('Вводные'!$B$47,'Вводные'!$F$32))*IF('Вводные'!$F$33&lt;=1,1,MIN(1,MAX(0,('СРОКИ'!BS14-1)/('Вводные'!$F$33-1)))))</f>
        <v/>
      </c>
      <c r="BT5" s="46">
        <f>IF('СРОКИ'!BT14&lt;=0,0,MIN('Вводные'!$B$47,'Вводные'!$F$32)+('Вводные'!$F$32-MIN('Вводные'!$B$47,'Вводные'!$F$32))*IF('Вводные'!$F$33&lt;=1,1,MIN(1,MAX(0,('СРОКИ'!BT14-1)/('Вводные'!$F$33-1)))))</f>
        <v/>
      </c>
      <c r="BU5" s="46">
        <f>IF('СРОКИ'!BU14&lt;=0,0,MIN('Вводные'!$B$47,'Вводные'!$F$32)+('Вводные'!$F$32-MIN('Вводные'!$B$47,'Вводные'!$F$32))*IF('Вводные'!$F$33&lt;=1,1,MIN(1,MAX(0,('СРОКИ'!BU14-1)/('Вводные'!$F$33-1)))))</f>
        <v/>
      </c>
      <c r="BV5" s="46">
        <f>IF('СРОКИ'!BV14&lt;=0,0,MIN('Вводные'!$B$47,'Вводные'!$F$32)+('Вводные'!$F$32-MIN('Вводные'!$B$47,'Вводные'!$F$32))*IF('Вводные'!$F$33&lt;=1,1,MIN(1,MAX(0,('СРОКИ'!BV14-1)/('Вводные'!$F$33-1)))))</f>
        <v/>
      </c>
      <c r="BW5" s="46">
        <f>IF('СРОКИ'!BW14&lt;=0,0,MIN('Вводные'!$B$47,'Вводные'!$F$32)+('Вводные'!$F$32-MIN('Вводные'!$B$47,'Вводные'!$F$32))*IF('Вводные'!$F$33&lt;=1,1,MIN(1,MAX(0,('СРОКИ'!BW14-1)/('Вводные'!$F$33-1)))))</f>
        <v/>
      </c>
      <c r="BX5" s="46">
        <f>IF('СРОКИ'!BX14&lt;=0,0,MIN('Вводные'!$B$47,'Вводные'!$F$32)+('Вводные'!$F$32-MIN('Вводные'!$B$47,'Вводные'!$F$32))*IF('Вводные'!$F$33&lt;=1,1,MIN(1,MAX(0,('СРОКИ'!BX14-1)/('Вводные'!$F$33-1)))))</f>
        <v/>
      </c>
      <c r="BY5" s="46">
        <f>IF('СРОКИ'!BY14&lt;=0,0,MIN('Вводные'!$B$47,'Вводные'!$F$32)+('Вводные'!$F$32-MIN('Вводные'!$B$47,'Вводные'!$F$32))*IF('Вводные'!$F$33&lt;=1,1,MIN(1,MAX(0,('СРОКИ'!BY14-1)/('Вводные'!$F$33-1)))))</f>
        <v/>
      </c>
      <c r="BZ5" s="46">
        <f>IF('СРОКИ'!BZ14&lt;=0,0,MIN('Вводные'!$B$47,'Вводные'!$F$32)+('Вводные'!$F$32-MIN('Вводные'!$B$47,'Вводные'!$F$32))*IF('Вводные'!$F$33&lt;=1,1,MIN(1,MAX(0,('СРОКИ'!BZ14-1)/('Вводные'!$F$33-1)))))</f>
        <v/>
      </c>
      <c r="CA5" s="46">
        <f>IF('СРОКИ'!CA14&lt;=0,0,MIN('Вводные'!$B$47,'Вводные'!$F$32)+('Вводные'!$F$32-MIN('Вводные'!$B$47,'Вводные'!$F$32))*IF('Вводные'!$F$33&lt;=1,1,MIN(1,MAX(0,('СРОКИ'!CA14-1)/('Вводные'!$F$33-1)))))</f>
        <v/>
      </c>
      <c r="CB5" s="46">
        <f>IF('СРОКИ'!CB14&lt;=0,0,MIN('Вводные'!$B$47,'Вводные'!$F$32)+('Вводные'!$F$32-MIN('Вводные'!$B$47,'Вводные'!$F$32))*IF('Вводные'!$F$33&lt;=1,1,MIN(1,MAX(0,('СРОКИ'!CB14-1)/('Вводные'!$F$33-1)))))</f>
        <v/>
      </c>
      <c r="CC5" s="46">
        <f>IF('СРОКИ'!CC14&lt;=0,0,MIN('Вводные'!$B$47,'Вводные'!$F$32)+('Вводные'!$F$32-MIN('Вводные'!$B$47,'Вводные'!$F$32))*IF('Вводные'!$F$33&lt;=1,1,MIN(1,MAX(0,('СРОКИ'!CC14-1)/('Вводные'!$F$33-1)))))</f>
        <v/>
      </c>
      <c r="CD5" s="46">
        <f>IF('СРОКИ'!CD14&lt;=0,0,MIN('Вводные'!$B$47,'Вводные'!$F$32)+('Вводные'!$F$32-MIN('Вводные'!$B$47,'Вводные'!$F$32))*IF('Вводные'!$F$33&lt;=1,1,MIN(1,MAX(0,('СРОКИ'!CD14-1)/('Вводные'!$F$33-1)))))</f>
        <v/>
      </c>
      <c r="CE5" s="46">
        <f>IF('СРОКИ'!CE14&lt;=0,0,MIN('Вводные'!$B$47,'Вводные'!$F$32)+('Вводные'!$F$32-MIN('Вводные'!$B$47,'Вводные'!$F$32))*IF('Вводные'!$F$33&lt;=1,1,MIN(1,MAX(0,('СРОКИ'!CE14-1)/('Вводные'!$F$33-1)))))</f>
        <v/>
      </c>
      <c r="CF5" s="46">
        <f>IF('СРОКИ'!CF14&lt;=0,0,MIN('Вводные'!$B$47,'Вводные'!$F$32)+('Вводные'!$F$32-MIN('Вводные'!$B$47,'Вводные'!$F$32))*IF('Вводные'!$F$33&lt;=1,1,MIN(1,MAX(0,('СРОКИ'!CF14-1)/('Вводные'!$F$33-1)))))</f>
        <v/>
      </c>
      <c r="CG5" s="46">
        <f>IF('СРОКИ'!CG14&lt;=0,0,MIN('Вводные'!$B$47,'Вводные'!$F$32)+('Вводные'!$F$32-MIN('Вводные'!$B$47,'Вводные'!$F$32))*IF('Вводные'!$F$33&lt;=1,1,MIN(1,MAX(0,('СРОКИ'!CG14-1)/('Вводные'!$F$33-1)))))</f>
        <v/>
      </c>
      <c r="CH5" s="46">
        <f>IF('СРОКИ'!CH14&lt;=0,0,MIN('Вводные'!$B$47,'Вводные'!$F$32)+('Вводные'!$F$32-MIN('Вводные'!$B$47,'Вводные'!$F$32))*IF('Вводные'!$F$33&lt;=1,1,MIN(1,MAX(0,('СРОКИ'!CH14-1)/('Вводные'!$F$33-1)))))</f>
        <v/>
      </c>
      <c r="CI5" s="46">
        <f>IF('СРОКИ'!CI14&lt;=0,0,MIN('Вводные'!$B$47,'Вводные'!$F$32)+('Вводные'!$F$32-MIN('Вводные'!$B$47,'Вводные'!$F$32))*IF('Вводные'!$F$33&lt;=1,1,MIN(1,MAX(0,('СРОКИ'!CI14-1)/('Вводные'!$F$33-1)))))</f>
        <v/>
      </c>
      <c r="CJ5" s="46">
        <f>IF('СРОКИ'!CJ14&lt;=0,0,MIN('Вводные'!$B$47,'Вводные'!$F$32)+('Вводные'!$F$32-MIN('Вводные'!$B$47,'Вводные'!$F$32))*IF('Вводные'!$F$33&lt;=1,1,MIN(1,MAX(0,('СРОКИ'!CJ14-1)/('Вводные'!$F$33-1)))))</f>
        <v/>
      </c>
      <c r="CK5" s="46">
        <f>IF('СРОКИ'!CK14&lt;=0,0,MIN('Вводные'!$B$47,'Вводные'!$F$32)+('Вводные'!$F$32-MIN('Вводные'!$B$47,'Вводные'!$F$32))*IF('Вводные'!$F$33&lt;=1,1,MIN(1,MAX(0,('СРОКИ'!CK14-1)/('Вводные'!$F$33-1)))))</f>
        <v/>
      </c>
      <c r="CL5" s="46">
        <f>IF('СРОКИ'!CL14&lt;=0,0,MIN('Вводные'!$B$47,'Вводные'!$F$32)+('Вводные'!$F$32-MIN('Вводные'!$B$47,'Вводные'!$F$32))*IF('Вводные'!$F$33&lt;=1,1,MIN(1,MAX(0,('СРОКИ'!CL14-1)/('Вводные'!$F$33-1)))))</f>
        <v/>
      </c>
      <c r="CM5" s="46">
        <f>IF('СРОКИ'!CM14&lt;=0,0,MIN('Вводные'!$B$47,'Вводные'!$F$32)+('Вводные'!$F$32-MIN('Вводные'!$B$47,'Вводные'!$F$32))*IF('Вводные'!$F$33&lt;=1,1,MIN(1,MAX(0,('СРОКИ'!CM14-1)/('Вводные'!$F$33-1)))))</f>
        <v/>
      </c>
      <c r="CN5" s="46">
        <f>IF('СРОКИ'!CN14&lt;=0,0,MIN('Вводные'!$B$47,'Вводные'!$F$32)+('Вводные'!$F$32-MIN('Вводные'!$B$47,'Вводные'!$F$32))*IF('Вводные'!$F$33&lt;=1,1,MIN(1,MAX(0,('СРОКИ'!CN14-1)/('Вводные'!$F$33-1)))))</f>
        <v/>
      </c>
      <c r="CO5" s="46">
        <f>IF('СРОКИ'!CO14&lt;=0,0,MIN('Вводные'!$B$47,'Вводные'!$F$32)+('Вводные'!$F$32-MIN('Вводные'!$B$47,'Вводные'!$F$32))*IF('Вводные'!$F$33&lt;=1,1,MIN(1,MAX(0,('СРОКИ'!CO14-1)/('Вводные'!$F$33-1)))))</f>
        <v/>
      </c>
      <c r="CP5" s="46">
        <f>IF('СРОКИ'!CP14&lt;=0,0,MIN('Вводные'!$B$47,'Вводные'!$F$32)+('Вводные'!$F$32-MIN('Вводные'!$B$47,'Вводные'!$F$32))*IF('Вводные'!$F$33&lt;=1,1,MIN(1,MAX(0,('СРОКИ'!CP14-1)/('Вводные'!$F$33-1)))))</f>
        <v/>
      </c>
      <c r="CQ5" s="46">
        <f>IF('СРОКИ'!CQ14&lt;=0,0,MIN('Вводные'!$B$47,'Вводные'!$F$32)+('Вводные'!$F$32-MIN('Вводные'!$B$47,'Вводные'!$F$32))*IF('Вводные'!$F$33&lt;=1,1,MIN(1,MAX(0,('СРОКИ'!CQ14-1)/('Вводные'!$F$33-1)))))</f>
        <v/>
      </c>
      <c r="CR5" s="46">
        <f>IF('СРОКИ'!CR14&lt;=0,0,MIN('Вводные'!$B$47,'Вводные'!$F$32)+('Вводные'!$F$32-MIN('Вводные'!$B$47,'Вводные'!$F$32))*IF('Вводные'!$F$33&lt;=1,1,MIN(1,MAX(0,('СРОКИ'!CR14-1)/('Вводные'!$F$33-1)))))</f>
        <v/>
      </c>
      <c r="CS5" s="46">
        <f>IF('СРОКИ'!CS14&lt;=0,0,MIN('Вводные'!$B$47,'Вводные'!$F$32)+('Вводные'!$F$32-MIN('Вводные'!$B$47,'Вводные'!$F$32))*IF('Вводные'!$F$33&lt;=1,1,MIN(1,MAX(0,('СРОКИ'!CS14-1)/('Вводные'!$F$33-1)))))</f>
        <v/>
      </c>
      <c r="CT5" s="46">
        <f>IF('СРОКИ'!CT14&lt;=0,0,MIN('Вводные'!$B$47,'Вводные'!$F$32)+('Вводные'!$F$32-MIN('Вводные'!$B$47,'Вводные'!$F$32))*IF('Вводные'!$F$33&lt;=1,1,MIN(1,MAX(0,('СРОКИ'!CT14-1)/('Вводные'!$F$33-1)))))</f>
        <v/>
      </c>
      <c r="CU5" s="46">
        <f>IF('СРОКИ'!CU14&lt;=0,0,MIN('Вводные'!$B$47,'Вводные'!$F$32)+('Вводные'!$F$32-MIN('Вводные'!$B$47,'Вводные'!$F$32))*IF('Вводные'!$F$33&lt;=1,1,MIN(1,MAX(0,('СРОКИ'!CU14-1)/('Вводные'!$F$33-1)))))</f>
        <v/>
      </c>
      <c r="CV5" s="46">
        <f>IF('СРОКИ'!CV14&lt;=0,0,MIN('Вводные'!$B$47,'Вводные'!$F$32)+('Вводные'!$F$32-MIN('Вводные'!$B$47,'Вводные'!$F$32))*IF('Вводные'!$F$33&lt;=1,1,MIN(1,MAX(0,('СРОКИ'!CV14-1)/('Вводные'!$F$33-1)))))</f>
        <v/>
      </c>
      <c r="CW5" s="46">
        <f>IF('СРОКИ'!CW14&lt;=0,0,MIN('Вводные'!$B$47,'Вводные'!$F$32)+('Вводные'!$F$32-MIN('Вводные'!$B$47,'Вводные'!$F$32))*IF('Вводные'!$F$33&lt;=1,1,MIN(1,MAX(0,('СРОКИ'!CW14-1)/('Вводные'!$F$33-1)))))</f>
        <v/>
      </c>
      <c r="CX5" s="46">
        <f>IF('СРОКИ'!CX14&lt;=0,0,MIN('Вводные'!$B$47,'Вводные'!$F$32)+('Вводные'!$F$32-MIN('Вводные'!$B$47,'Вводные'!$F$32))*IF('Вводные'!$F$33&lt;=1,1,MIN(1,MAX(0,('СРОКИ'!CX14-1)/('Вводные'!$F$33-1)))))</f>
        <v/>
      </c>
      <c r="CY5" s="46">
        <f>IF('СРОКИ'!CY14&lt;=0,0,MIN('Вводные'!$B$47,'Вводные'!$F$32)+('Вводные'!$F$32-MIN('Вводные'!$B$47,'Вводные'!$F$32))*IF('Вводные'!$F$33&lt;=1,1,MIN(1,MAX(0,('СРОКИ'!CY14-1)/('Вводные'!$F$33-1)))))</f>
        <v/>
      </c>
      <c r="CZ5" s="46">
        <f>IF('СРОКИ'!CZ14&lt;=0,0,MIN('Вводные'!$B$47,'Вводные'!$F$32)+('Вводные'!$F$32-MIN('Вводные'!$B$47,'Вводные'!$F$32))*IF('Вводные'!$F$33&lt;=1,1,MIN(1,MAX(0,('СРОКИ'!CZ14-1)/('Вводные'!$F$33-1)))))</f>
        <v/>
      </c>
      <c r="DA5" s="46">
        <f>IF('СРОКИ'!DA14&lt;=0,0,MIN('Вводные'!$B$47,'Вводные'!$F$32)+('Вводные'!$F$32-MIN('Вводные'!$B$47,'Вводные'!$F$32))*IF('Вводные'!$F$33&lt;=1,1,MIN(1,MAX(0,('СРОКИ'!DA14-1)/('Вводные'!$F$33-1)))))</f>
        <v/>
      </c>
      <c r="DB5" s="46">
        <f>IF('СРОКИ'!DB14&lt;=0,0,MIN('Вводные'!$B$47,'Вводные'!$F$32)+('Вводные'!$F$32-MIN('Вводные'!$B$47,'Вводные'!$F$32))*IF('Вводные'!$F$33&lt;=1,1,MIN(1,MAX(0,('СРОКИ'!DB14-1)/('Вводные'!$F$33-1)))))</f>
        <v/>
      </c>
      <c r="DC5" s="46">
        <f>IF('СРОКИ'!DC14&lt;=0,0,MIN('Вводные'!$B$47,'Вводные'!$F$32)+('Вводные'!$F$32-MIN('Вводные'!$B$47,'Вводные'!$F$32))*IF('Вводные'!$F$33&lt;=1,1,MIN(1,MAX(0,('СРОКИ'!DC14-1)/('Вводные'!$F$33-1)))))</f>
        <v/>
      </c>
      <c r="DD5" s="46">
        <f>IF('СРОКИ'!DD14&lt;=0,0,MIN('Вводные'!$B$47,'Вводные'!$F$32)+('Вводные'!$F$32-MIN('Вводные'!$B$47,'Вводные'!$F$32))*IF('Вводные'!$F$33&lt;=1,1,MIN(1,MAX(0,('СРОКИ'!DD14-1)/('Вводные'!$F$33-1)))))</f>
        <v/>
      </c>
      <c r="DE5" s="46">
        <f>IF('СРОКИ'!DE14&lt;=0,0,MIN('Вводные'!$B$47,'Вводные'!$F$32)+('Вводные'!$F$32-MIN('Вводные'!$B$47,'Вводные'!$F$32))*IF('Вводные'!$F$33&lt;=1,1,MIN(1,MAX(0,('СРОКИ'!DE14-1)/('Вводные'!$F$33-1)))))</f>
        <v/>
      </c>
      <c r="DF5" s="46">
        <f>IF('СРОКИ'!DF14&lt;=0,0,MIN('Вводные'!$B$47,'Вводные'!$F$32)+('Вводные'!$F$32-MIN('Вводные'!$B$47,'Вводные'!$F$32))*IF('Вводные'!$F$33&lt;=1,1,MIN(1,MAX(0,('СРОКИ'!DF14-1)/('Вводные'!$F$33-1)))))</f>
        <v/>
      </c>
      <c r="DG5" s="46">
        <f>IF('СРОКИ'!DG14&lt;=0,0,MIN('Вводные'!$B$47,'Вводные'!$F$32)+('Вводные'!$F$32-MIN('Вводные'!$B$47,'Вводные'!$F$32))*IF('Вводные'!$F$33&lt;=1,1,MIN(1,MAX(0,('СРОКИ'!DG14-1)/('Вводные'!$F$33-1)))))</f>
        <v/>
      </c>
      <c r="DH5" s="46">
        <f>IF('СРОКИ'!DH14&lt;=0,0,MIN('Вводные'!$B$47,'Вводные'!$F$32)+('Вводные'!$F$32-MIN('Вводные'!$B$47,'Вводные'!$F$32))*IF('Вводные'!$F$33&lt;=1,1,MIN(1,MAX(0,('СРОКИ'!DH14-1)/('Вводные'!$F$33-1)))))</f>
        <v/>
      </c>
      <c r="DI5" s="46">
        <f>IF('СРОКИ'!DI14&lt;=0,0,MIN('Вводные'!$B$47,'Вводные'!$F$32)+('Вводные'!$F$32-MIN('Вводные'!$B$47,'Вводные'!$F$32))*IF('Вводные'!$F$33&lt;=1,1,MIN(1,MAX(0,('СРОКИ'!DI14-1)/('Вводные'!$F$33-1)))))</f>
        <v/>
      </c>
      <c r="DJ5" s="46">
        <f>IF('СРОКИ'!DJ14&lt;=0,0,MIN('Вводные'!$B$47,'Вводные'!$F$32)+('Вводные'!$F$32-MIN('Вводные'!$B$47,'Вводные'!$F$32))*IF('Вводные'!$F$33&lt;=1,1,MIN(1,MAX(0,('СРОКИ'!DJ14-1)/('Вводные'!$F$33-1)))))</f>
        <v/>
      </c>
      <c r="DK5" s="46">
        <f>IF('СРОКИ'!DK14&lt;=0,0,MIN('Вводные'!$B$47,'Вводные'!$F$32)+('Вводные'!$F$32-MIN('Вводные'!$B$47,'Вводные'!$F$32))*IF('Вводные'!$F$33&lt;=1,1,MIN(1,MAX(0,('СРОКИ'!DK14-1)/('Вводные'!$F$33-1)))))</f>
        <v/>
      </c>
      <c r="DL5" s="46">
        <f>IF('СРОКИ'!DL14&lt;=0,0,MIN('Вводные'!$B$47,'Вводные'!$F$32)+('Вводные'!$F$32-MIN('Вводные'!$B$47,'Вводные'!$F$32))*IF('Вводные'!$F$33&lt;=1,1,MIN(1,MAX(0,('СРОКИ'!DL14-1)/('Вводные'!$F$33-1)))))</f>
        <v/>
      </c>
      <c r="DM5" s="46">
        <f>IF('СРОКИ'!DM14&lt;=0,0,MIN('Вводные'!$B$47,'Вводные'!$F$32)+('Вводные'!$F$32-MIN('Вводные'!$B$47,'Вводные'!$F$32))*IF('Вводные'!$F$33&lt;=1,1,MIN(1,MAX(0,('СРОКИ'!DM14-1)/('Вводные'!$F$33-1)))))</f>
        <v/>
      </c>
    </row>
    <row r="6">
      <c r="A6" s="36" t="inlineStr">
        <is>
          <t>Индекс аренды</t>
        </is>
      </c>
      <c r="B6" s="10" t="n"/>
      <c r="C6" s="37" t="inlineStr">
        <is>
          <t>×</t>
        </is>
      </c>
      <c r="D6" s="45">
        <f>IF('СРОКИ'!D14&lt;=0,0,(1+'Вводные'!$B$48)^(('СРОКИ'!D14-1)/12))</f>
        <v/>
      </c>
      <c r="E6" s="45">
        <f>IF('СРОКИ'!E14&lt;=0,0,(1+'Вводные'!$B$48)^(('СРОКИ'!E14-1)/12))</f>
        <v/>
      </c>
      <c r="F6" s="45">
        <f>IF('СРОКИ'!F14&lt;=0,0,(1+'Вводные'!$B$48)^(('СРОКИ'!F14-1)/12))</f>
        <v/>
      </c>
      <c r="G6" s="45">
        <f>IF('СРОКИ'!G14&lt;=0,0,(1+'Вводные'!$B$48)^(('СРОКИ'!G14-1)/12))</f>
        <v/>
      </c>
      <c r="H6" s="45">
        <f>IF('СРОКИ'!H14&lt;=0,0,(1+'Вводные'!$B$48)^(('СРОКИ'!H14-1)/12))</f>
        <v/>
      </c>
      <c r="I6" s="45">
        <f>IF('СРОКИ'!I14&lt;=0,0,(1+'Вводные'!$B$48)^(('СРОКИ'!I14-1)/12))</f>
        <v/>
      </c>
      <c r="J6" s="45">
        <f>IF('СРОКИ'!J14&lt;=0,0,(1+'Вводные'!$B$48)^(('СРОКИ'!J14-1)/12))</f>
        <v/>
      </c>
      <c r="K6" s="45">
        <f>IF('СРОКИ'!K14&lt;=0,0,(1+'Вводные'!$B$48)^(('СРОКИ'!K14-1)/12))</f>
        <v/>
      </c>
      <c r="L6" s="45">
        <f>IF('СРОКИ'!L14&lt;=0,0,(1+'Вводные'!$B$48)^(('СРОКИ'!L14-1)/12))</f>
        <v/>
      </c>
      <c r="M6" s="45">
        <f>IF('СРОКИ'!M14&lt;=0,0,(1+'Вводные'!$B$48)^(('СРОКИ'!M14-1)/12))</f>
        <v/>
      </c>
      <c r="N6" s="45">
        <f>IF('СРОКИ'!N14&lt;=0,0,(1+'Вводные'!$B$48)^(('СРОКИ'!N14-1)/12))</f>
        <v/>
      </c>
      <c r="O6" s="45">
        <f>IF('СРОКИ'!O14&lt;=0,0,(1+'Вводные'!$B$48)^(('СРОКИ'!O14-1)/12))</f>
        <v/>
      </c>
      <c r="P6" s="45">
        <f>IF('СРОКИ'!P14&lt;=0,0,(1+'Вводные'!$B$48)^(('СРОКИ'!P14-1)/12))</f>
        <v/>
      </c>
      <c r="Q6" s="45">
        <f>IF('СРОКИ'!Q14&lt;=0,0,(1+'Вводные'!$B$48)^(('СРОКИ'!Q14-1)/12))</f>
        <v/>
      </c>
      <c r="R6" s="45">
        <f>IF('СРОКИ'!R14&lt;=0,0,(1+'Вводные'!$B$48)^(('СРОКИ'!R14-1)/12))</f>
        <v/>
      </c>
      <c r="S6" s="45">
        <f>IF('СРОКИ'!S14&lt;=0,0,(1+'Вводные'!$B$48)^(('СРОКИ'!S14-1)/12))</f>
        <v/>
      </c>
      <c r="T6" s="45">
        <f>IF('СРОКИ'!T14&lt;=0,0,(1+'Вводные'!$B$48)^(('СРОКИ'!T14-1)/12))</f>
        <v/>
      </c>
      <c r="U6" s="45">
        <f>IF('СРОКИ'!U14&lt;=0,0,(1+'Вводные'!$B$48)^(('СРОКИ'!U14-1)/12))</f>
        <v/>
      </c>
      <c r="V6" s="45">
        <f>IF('СРОКИ'!V14&lt;=0,0,(1+'Вводные'!$B$48)^(('СРОКИ'!V14-1)/12))</f>
        <v/>
      </c>
      <c r="W6" s="45">
        <f>IF('СРОКИ'!W14&lt;=0,0,(1+'Вводные'!$B$48)^(('СРОКИ'!W14-1)/12))</f>
        <v/>
      </c>
      <c r="X6" s="45">
        <f>IF('СРОКИ'!X14&lt;=0,0,(1+'Вводные'!$B$48)^(('СРОКИ'!X14-1)/12))</f>
        <v/>
      </c>
      <c r="Y6" s="45">
        <f>IF('СРОКИ'!Y14&lt;=0,0,(1+'Вводные'!$B$48)^(('СРОКИ'!Y14-1)/12))</f>
        <v/>
      </c>
      <c r="Z6" s="45">
        <f>IF('СРОКИ'!Z14&lt;=0,0,(1+'Вводные'!$B$48)^(('СРОКИ'!Z14-1)/12))</f>
        <v/>
      </c>
      <c r="AA6" s="45">
        <f>IF('СРОКИ'!AA14&lt;=0,0,(1+'Вводные'!$B$48)^(('СРОКИ'!AA14-1)/12))</f>
        <v/>
      </c>
      <c r="AB6" s="45">
        <f>IF('СРОКИ'!AB14&lt;=0,0,(1+'Вводные'!$B$48)^(('СРОКИ'!AB14-1)/12))</f>
        <v/>
      </c>
      <c r="AC6" s="45">
        <f>IF('СРОКИ'!AC14&lt;=0,0,(1+'Вводные'!$B$48)^(('СРОКИ'!AC14-1)/12))</f>
        <v/>
      </c>
      <c r="AD6" s="45">
        <f>IF('СРОКИ'!AD14&lt;=0,0,(1+'Вводные'!$B$48)^(('СРОКИ'!AD14-1)/12))</f>
        <v/>
      </c>
      <c r="AE6" s="45">
        <f>IF('СРОКИ'!AE14&lt;=0,0,(1+'Вводные'!$B$48)^(('СРОКИ'!AE14-1)/12))</f>
        <v/>
      </c>
      <c r="AF6" s="45">
        <f>IF('СРОКИ'!AF14&lt;=0,0,(1+'Вводные'!$B$48)^(('СРОКИ'!AF14-1)/12))</f>
        <v/>
      </c>
      <c r="AG6" s="45">
        <f>IF('СРОКИ'!AG14&lt;=0,0,(1+'Вводные'!$B$48)^(('СРОКИ'!AG14-1)/12))</f>
        <v/>
      </c>
      <c r="AH6" s="45">
        <f>IF('СРОКИ'!AH14&lt;=0,0,(1+'Вводные'!$B$48)^(('СРОКИ'!AH14-1)/12))</f>
        <v/>
      </c>
      <c r="AI6" s="45">
        <f>IF('СРОКИ'!AI14&lt;=0,0,(1+'Вводные'!$B$48)^(('СРОКИ'!AI14-1)/12))</f>
        <v/>
      </c>
      <c r="AJ6" s="45">
        <f>IF('СРОКИ'!AJ14&lt;=0,0,(1+'Вводные'!$B$48)^(('СРОКИ'!AJ14-1)/12))</f>
        <v/>
      </c>
      <c r="AK6" s="45">
        <f>IF('СРОКИ'!AK14&lt;=0,0,(1+'Вводные'!$B$48)^(('СРОКИ'!AK14-1)/12))</f>
        <v/>
      </c>
      <c r="AL6" s="45">
        <f>IF('СРОКИ'!AL14&lt;=0,0,(1+'Вводные'!$B$48)^(('СРОКИ'!AL14-1)/12))</f>
        <v/>
      </c>
      <c r="AM6" s="45">
        <f>IF('СРОКИ'!AM14&lt;=0,0,(1+'Вводные'!$B$48)^(('СРОКИ'!AM14-1)/12))</f>
        <v/>
      </c>
      <c r="AN6" s="45">
        <f>IF('СРОКИ'!AN14&lt;=0,0,(1+'Вводные'!$B$48)^(('СРОКИ'!AN14-1)/12))</f>
        <v/>
      </c>
      <c r="AO6" s="45">
        <f>IF('СРОКИ'!AO14&lt;=0,0,(1+'Вводные'!$B$48)^(('СРОКИ'!AO14-1)/12))</f>
        <v/>
      </c>
      <c r="AP6" s="45">
        <f>IF('СРОКИ'!AP14&lt;=0,0,(1+'Вводные'!$B$48)^(('СРОКИ'!AP14-1)/12))</f>
        <v/>
      </c>
      <c r="AQ6" s="45">
        <f>IF('СРОКИ'!AQ14&lt;=0,0,(1+'Вводные'!$B$48)^(('СРОКИ'!AQ14-1)/12))</f>
        <v/>
      </c>
      <c r="AR6" s="45">
        <f>IF('СРОКИ'!AR14&lt;=0,0,(1+'Вводные'!$B$48)^(('СРОКИ'!AR14-1)/12))</f>
        <v/>
      </c>
      <c r="AS6" s="45">
        <f>IF('СРОКИ'!AS14&lt;=0,0,(1+'Вводные'!$B$48)^(('СРОКИ'!AS14-1)/12))</f>
        <v/>
      </c>
      <c r="AT6" s="45">
        <f>IF('СРОКИ'!AT14&lt;=0,0,(1+'Вводные'!$B$48)^(('СРОКИ'!AT14-1)/12))</f>
        <v/>
      </c>
      <c r="AU6" s="45">
        <f>IF('СРОКИ'!AU14&lt;=0,0,(1+'Вводные'!$B$48)^(('СРОКИ'!AU14-1)/12))</f>
        <v/>
      </c>
      <c r="AV6" s="45">
        <f>IF('СРОКИ'!AV14&lt;=0,0,(1+'Вводные'!$B$48)^(('СРОКИ'!AV14-1)/12))</f>
        <v/>
      </c>
      <c r="AW6" s="45">
        <f>IF('СРОКИ'!AW14&lt;=0,0,(1+'Вводные'!$B$48)^(('СРОКИ'!AW14-1)/12))</f>
        <v/>
      </c>
      <c r="AX6" s="45">
        <f>IF('СРОКИ'!AX14&lt;=0,0,(1+'Вводные'!$B$48)^(('СРОКИ'!AX14-1)/12))</f>
        <v/>
      </c>
      <c r="AY6" s="45">
        <f>IF('СРОКИ'!AY14&lt;=0,0,(1+'Вводные'!$B$48)^(('СРОКИ'!AY14-1)/12))</f>
        <v/>
      </c>
      <c r="AZ6" s="45">
        <f>IF('СРОКИ'!AZ14&lt;=0,0,(1+'Вводные'!$B$48)^(('СРОКИ'!AZ14-1)/12))</f>
        <v/>
      </c>
      <c r="BA6" s="45">
        <f>IF('СРОКИ'!BA14&lt;=0,0,(1+'Вводные'!$B$48)^(('СРОКИ'!BA14-1)/12))</f>
        <v/>
      </c>
      <c r="BB6" s="45">
        <f>IF('СРОКИ'!BB14&lt;=0,0,(1+'Вводные'!$B$48)^(('СРОКИ'!BB14-1)/12))</f>
        <v/>
      </c>
      <c r="BC6" s="45">
        <f>IF('СРОКИ'!BC14&lt;=0,0,(1+'Вводные'!$B$48)^(('СРОКИ'!BC14-1)/12))</f>
        <v/>
      </c>
      <c r="BD6" s="45">
        <f>IF('СРОКИ'!BD14&lt;=0,0,(1+'Вводные'!$B$48)^(('СРОКИ'!BD14-1)/12))</f>
        <v/>
      </c>
      <c r="BE6" s="45">
        <f>IF('СРОКИ'!BE14&lt;=0,0,(1+'Вводные'!$B$48)^(('СРОКИ'!BE14-1)/12))</f>
        <v/>
      </c>
      <c r="BF6" s="45">
        <f>IF('СРОКИ'!BF14&lt;=0,0,(1+'Вводные'!$B$48)^(('СРОКИ'!BF14-1)/12))</f>
        <v/>
      </c>
      <c r="BG6" s="45">
        <f>IF('СРОКИ'!BG14&lt;=0,0,(1+'Вводные'!$B$48)^(('СРОКИ'!BG14-1)/12))</f>
        <v/>
      </c>
      <c r="BH6" s="45">
        <f>IF('СРОКИ'!BH14&lt;=0,0,(1+'Вводные'!$B$48)^(('СРОКИ'!BH14-1)/12))</f>
        <v/>
      </c>
      <c r="BI6" s="45">
        <f>IF('СРОКИ'!BI14&lt;=0,0,(1+'Вводные'!$B$48)^(('СРОКИ'!BI14-1)/12))</f>
        <v/>
      </c>
      <c r="BJ6" s="45">
        <f>IF('СРОКИ'!BJ14&lt;=0,0,(1+'Вводные'!$B$48)^(('СРОКИ'!BJ14-1)/12))</f>
        <v/>
      </c>
      <c r="BK6" s="45">
        <f>IF('СРОКИ'!BK14&lt;=0,0,(1+'Вводные'!$B$48)^(('СРОКИ'!BK14-1)/12))</f>
        <v/>
      </c>
      <c r="BL6" s="45">
        <f>IF('СРОКИ'!BL14&lt;=0,0,(1+'Вводные'!$B$48)^(('СРОКИ'!BL14-1)/12))</f>
        <v/>
      </c>
      <c r="BM6" s="45">
        <f>IF('СРОКИ'!BM14&lt;=0,0,(1+'Вводные'!$B$48)^(('СРОКИ'!BM14-1)/12))</f>
        <v/>
      </c>
      <c r="BN6" s="45">
        <f>IF('СРОКИ'!BN14&lt;=0,0,(1+'Вводные'!$B$48)^(('СРОКИ'!BN14-1)/12))</f>
        <v/>
      </c>
      <c r="BO6" s="45">
        <f>IF('СРОКИ'!BO14&lt;=0,0,(1+'Вводные'!$B$48)^(('СРОКИ'!BO14-1)/12))</f>
        <v/>
      </c>
      <c r="BP6" s="45">
        <f>IF('СРОКИ'!BP14&lt;=0,0,(1+'Вводные'!$B$48)^(('СРОКИ'!BP14-1)/12))</f>
        <v/>
      </c>
      <c r="BQ6" s="45">
        <f>IF('СРОКИ'!BQ14&lt;=0,0,(1+'Вводные'!$B$48)^(('СРОКИ'!BQ14-1)/12))</f>
        <v/>
      </c>
      <c r="BR6" s="45">
        <f>IF('СРОКИ'!BR14&lt;=0,0,(1+'Вводные'!$B$48)^(('СРОКИ'!BR14-1)/12))</f>
        <v/>
      </c>
      <c r="BS6" s="45">
        <f>IF('СРОКИ'!BS14&lt;=0,0,(1+'Вводные'!$B$48)^(('СРОКИ'!BS14-1)/12))</f>
        <v/>
      </c>
      <c r="BT6" s="45">
        <f>IF('СРОКИ'!BT14&lt;=0,0,(1+'Вводные'!$B$48)^(('СРОКИ'!BT14-1)/12))</f>
        <v/>
      </c>
      <c r="BU6" s="45">
        <f>IF('СРОКИ'!BU14&lt;=0,0,(1+'Вводные'!$B$48)^(('СРОКИ'!BU14-1)/12))</f>
        <v/>
      </c>
      <c r="BV6" s="45">
        <f>IF('СРОКИ'!BV14&lt;=0,0,(1+'Вводные'!$B$48)^(('СРОКИ'!BV14-1)/12))</f>
        <v/>
      </c>
      <c r="BW6" s="45">
        <f>IF('СРОКИ'!BW14&lt;=0,0,(1+'Вводные'!$B$48)^(('СРОКИ'!BW14-1)/12))</f>
        <v/>
      </c>
      <c r="BX6" s="45">
        <f>IF('СРОКИ'!BX14&lt;=0,0,(1+'Вводные'!$B$48)^(('СРОКИ'!BX14-1)/12))</f>
        <v/>
      </c>
      <c r="BY6" s="45">
        <f>IF('СРОКИ'!BY14&lt;=0,0,(1+'Вводные'!$B$48)^(('СРОКИ'!BY14-1)/12))</f>
        <v/>
      </c>
      <c r="BZ6" s="45">
        <f>IF('СРОКИ'!BZ14&lt;=0,0,(1+'Вводные'!$B$48)^(('СРОКИ'!BZ14-1)/12))</f>
        <v/>
      </c>
      <c r="CA6" s="45">
        <f>IF('СРОКИ'!CA14&lt;=0,0,(1+'Вводные'!$B$48)^(('СРОКИ'!CA14-1)/12))</f>
        <v/>
      </c>
      <c r="CB6" s="45">
        <f>IF('СРОКИ'!CB14&lt;=0,0,(1+'Вводные'!$B$48)^(('СРОКИ'!CB14-1)/12))</f>
        <v/>
      </c>
      <c r="CC6" s="45">
        <f>IF('СРОКИ'!CC14&lt;=0,0,(1+'Вводные'!$B$48)^(('СРОКИ'!CC14-1)/12))</f>
        <v/>
      </c>
      <c r="CD6" s="45">
        <f>IF('СРОКИ'!CD14&lt;=0,0,(1+'Вводные'!$B$48)^(('СРОКИ'!CD14-1)/12))</f>
        <v/>
      </c>
      <c r="CE6" s="45">
        <f>IF('СРОКИ'!CE14&lt;=0,0,(1+'Вводные'!$B$48)^(('СРОКИ'!CE14-1)/12))</f>
        <v/>
      </c>
      <c r="CF6" s="45">
        <f>IF('СРОКИ'!CF14&lt;=0,0,(1+'Вводные'!$B$48)^(('СРОКИ'!CF14-1)/12))</f>
        <v/>
      </c>
      <c r="CG6" s="45">
        <f>IF('СРОКИ'!CG14&lt;=0,0,(1+'Вводные'!$B$48)^(('СРОКИ'!CG14-1)/12))</f>
        <v/>
      </c>
      <c r="CH6" s="45">
        <f>IF('СРОКИ'!CH14&lt;=0,0,(1+'Вводные'!$B$48)^(('СРОКИ'!CH14-1)/12))</f>
        <v/>
      </c>
      <c r="CI6" s="45">
        <f>IF('СРОКИ'!CI14&lt;=0,0,(1+'Вводные'!$B$48)^(('СРОКИ'!CI14-1)/12))</f>
        <v/>
      </c>
      <c r="CJ6" s="45">
        <f>IF('СРОКИ'!CJ14&lt;=0,0,(1+'Вводные'!$B$48)^(('СРОКИ'!CJ14-1)/12))</f>
        <v/>
      </c>
      <c r="CK6" s="45">
        <f>IF('СРОКИ'!CK14&lt;=0,0,(1+'Вводные'!$B$48)^(('СРОКИ'!CK14-1)/12))</f>
        <v/>
      </c>
      <c r="CL6" s="45">
        <f>IF('СРОКИ'!CL14&lt;=0,0,(1+'Вводные'!$B$48)^(('СРОКИ'!CL14-1)/12))</f>
        <v/>
      </c>
      <c r="CM6" s="45">
        <f>IF('СРОКИ'!CM14&lt;=0,0,(1+'Вводные'!$B$48)^(('СРОКИ'!CM14-1)/12))</f>
        <v/>
      </c>
      <c r="CN6" s="45">
        <f>IF('СРОКИ'!CN14&lt;=0,0,(1+'Вводные'!$B$48)^(('СРОКИ'!CN14-1)/12))</f>
        <v/>
      </c>
      <c r="CO6" s="45">
        <f>IF('СРОКИ'!CO14&lt;=0,0,(1+'Вводные'!$B$48)^(('СРОКИ'!CO14-1)/12))</f>
        <v/>
      </c>
      <c r="CP6" s="45">
        <f>IF('СРОКИ'!CP14&lt;=0,0,(1+'Вводные'!$B$48)^(('СРОКИ'!CP14-1)/12))</f>
        <v/>
      </c>
      <c r="CQ6" s="45">
        <f>IF('СРОКИ'!CQ14&lt;=0,0,(1+'Вводные'!$B$48)^(('СРОКИ'!CQ14-1)/12))</f>
        <v/>
      </c>
      <c r="CR6" s="45">
        <f>IF('СРОКИ'!CR14&lt;=0,0,(1+'Вводные'!$B$48)^(('СРОКИ'!CR14-1)/12))</f>
        <v/>
      </c>
      <c r="CS6" s="45">
        <f>IF('СРОКИ'!CS14&lt;=0,0,(1+'Вводные'!$B$48)^(('СРОКИ'!CS14-1)/12))</f>
        <v/>
      </c>
      <c r="CT6" s="45">
        <f>IF('СРОКИ'!CT14&lt;=0,0,(1+'Вводные'!$B$48)^(('СРОКИ'!CT14-1)/12))</f>
        <v/>
      </c>
      <c r="CU6" s="45">
        <f>IF('СРОКИ'!CU14&lt;=0,0,(1+'Вводные'!$B$48)^(('СРОКИ'!CU14-1)/12))</f>
        <v/>
      </c>
      <c r="CV6" s="45">
        <f>IF('СРОКИ'!CV14&lt;=0,0,(1+'Вводные'!$B$48)^(('СРОКИ'!CV14-1)/12))</f>
        <v/>
      </c>
      <c r="CW6" s="45">
        <f>IF('СРОКИ'!CW14&lt;=0,0,(1+'Вводные'!$B$48)^(('СРОКИ'!CW14-1)/12))</f>
        <v/>
      </c>
      <c r="CX6" s="45">
        <f>IF('СРОКИ'!CX14&lt;=0,0,(1+'Вводные'!$B$48)^(('СРОКИ'!CX14-1)/12))</f>
        <v/>
      </c>
      <c r="CY6" s="45">
        <f>IF('СРОКИ'!CY14&lt;=0,0,(1+'Вводные'!$B$48)^(('СРОКИ'!CY14-1)/12))</f>
        <v/>
      </c>
      <c r="CZ6" s="45">
        <f>IF('СРОКИ'!CZ14&lt;=0,0,(1+'Вводные'!$B$48)^(('СРОКИ'!CZ14-1)/12))</f>
        <v/>
      </c>
      <c r="DA6" s="45">
        <f>IF('СРОКИ'!DA14&lt;=0,0,(1+'Вводные'!$B$48)^(('СРОКИ'!DA14-1)/12))</f>
        <v/>
      </c>
      <c r="DB6" s="45">
        <f>IF('СРОКИ'!DB14&lt;=0,0,(1+'Вводные'!$B$48)^(('СРОКИ'!DB14-1)/12))</f>
        <v/>
      </c>
      <c r="DC6" s="45">
        <f>IF('СРОКИ'!DC14&lt;=0,0,(1+'Вводные'!$B$48)^(('СРОКИ'!DC14-1)/12))</f>
        <v/>
      </c>
      <c r="DD6" s="45">
        <f>IF('СРОКИ'!DD14&lt;=0,0,(1+'Вводные'!$B$48)^(('СРОКИ'!DD14-1)/12))</f>
        <v/>
      </c>
      <c r="DE6" s="45">
        <f>IF('СРОКИ'!DE14&lt;=0,0,(1+'Вводные'!$B$48)^(('СРОКИ'!DE14-1)/12))</f>
        <v/>
      </c>
      <c r="DF6" s="45">
        <f>IF('СРОКИ'!DF14&lt;=0,0,(1+'Вводные'!$B$48)^(('СРОКИ'!DF14-1)/12))</f>
        <v/>
      </c>
      <c r="DG6" s="45">
        <f>IF('СРОКИ'!DG14&lt;=0,0,(1+'Вводные'!$B$48)^(('СРОКИ'!DG14-1)/12))</f>
        <v/>
      </c>
      <c r="DH6" s="45">
        <f>IF('СРОКИ'!DH14&lt;=0,0,(1+'Вводные'!$B$48)^(('СРОКИ'!DH14-1)/12))</f>
        <v/>
      </c>
      <c r="DI6" s="45">
        <f>IF('СРОКИ'!DI14&lt;=0,0,(1+'Вводные'!$B$48)^(('СРОКИ'!DI14-1)/12))</f>
        <v/>
      </c>
      <c r="DJ6" s="45">
        <f>IF('СРОКИ'!DJ14&lt;=0,0,(1+'Вводные'!$B$48)^(('СРОКИ'!DJ14-1)/12))</f>
        <v/>
      </c>
      <c r="DK6" s="45">
        <f>IF('СРОКИ'!DK14&lt;=0,0,(1+'Вводные'!$B$48)^(('СРОКИ'!DK14-1)/12))</f>
        <v/>
      </c>
      <c r="DL6" s="45">
        <f>IF('СРОКИ'!DL14&lt;=0,0,(1+'Вводные'!$B$48)^(('СРОКИ'!DL14-1)/12))</f>
        <v/>
      </c>
      <c r="DM6" s="45">
        <f>IF('СРОКИ'!DM14&lt;=0,0,(1+'Вводные'!$B$48)^(('СРОКИ'!DM14-1)/12))</f>
        <v/>
      </c>
    </row>
    <row r="7">
      <c r="A7" s="36" t="inlineStr">
        <is>
          <t>Доход аренды (по всем месяцам эксплуатации)</t>
        </is>
      </c>
      <c r="B7" s="10" t="n"/>
      <c r="C7" s="37" t="inlineStr">
        <is>
          <t>млн ₽</t>
        </is>
      </c>
      <c r="D7" s="47">
        <f>('Вводные'!$B$17*'Вводные'!$F$31/12/1000+'Вводные'!$B$20*'Вводные'!$B$49/1000)*'Аренда'!D6*'Аренда'!D5</f>
        <v/>
      </c>
      <c r="E7" s="47">
        <f>('Вводные'!$B$17*'Вводные'!$F$31/12/1000+'Вводные'!$B$20*'Вводные'!$B$49/1000)*'Аренда'!E6*'Аренда'!E5</f>
        <v/>
      </c>
      <c r="F7" s="47">
        <f>('Вводные'!$B$17*'Вводные'!$F$31/12/1000+'Вводные'!$B$20*'Вводные'!$B$49/1000)*'Аренда'!F6*'Аренда'!F5</f>
        <v/>
      </c>
      <c r="G7" s="47">
        <f>('Вводные'!$B$17*'Вводные'!$F$31/12/1000+'Вводные'!$B$20*'Вводные'!$B$49/1000)*'Аренда'!G6*'Аренда'!G5</f>
        <v/>
      </c>
      <c r="H7" s="47">
        <f>('Вводные'!$B$17*'Вводные'!$F$31/12/1000+'Вводные'!$B$20*'Вводные'!$B$49/1000)*'Аренда'!H6*'Аренда'!H5</f>
        <v/>
      </c>
      <c r="I7" s="47">
        <f>('Вводные'!$B$17*'Вводные'!$F$31/12/1000+'Вводные'!$B$20*'Вводные'!$B$49/1000)*'Аренда'!I6*'Аренда'!I5</f>
        <v/>
      </c>
      <c r="J7" s="47">
        <f>('Вводные'!$B$17*'Вводные'!$F$31/12/1000+'Вводные'!$B$20*'Вводные'!$B$49/1000)*'Аренда'!J6*'Аренда'!J5</f>
        <v/>
      </c>
      <c r="K7" s="47">
        <f>('Вводные'!$B$17*'Вводные'!$F$31/12/1000+'Вводные'!$B$20*'Вводные'!$B$49/1000)*'Аренда'!K6*'Аренда'!K5</f>
        <v/>
      </c>
      <c r="L7" s="47">
        <f>('Вводные'!$B$17*'Вводные'!$F$31/12/1000+'Вводные'!$B$20*'Вводные'!$B$49/1000)*'Аренда'!L6*'Аренда'!L5</f>
        <v/>
      </c>
      <c r="M7" s="47">
        <f>('Вводные'!$B$17*'Вводные'!$F$31/12/1000+'Вводные'!$B$20*'Вводные'!$B$49/1000)*'Аренда'!M6*'Аренда'!M5</f>
        <v/>
      </c>
      <c r="N7" s="47">
        <f>('Вводные'!$B$17*'Вводные'!$F$31/12/1000+'Вводные'!$B$20*'Вводные'!$B$49/1000)*'Аренда'!N6*'Аренда'!N5</f>
        <v/>
      </c>
      <c r="O7" s="47">
        <f>('Вводные'!$B$17*'Вводные'!$F$31/12/1000+'Вводные'!$B$20*'Вводные'!$B$49/1000)*'Аренда'!O6*'Аренда'!O5</f>
        <v/>
      </c>
      <c r="P7" s="47">
        <f>('Вводные'!$B$17*'Вводные'!$F$31/12/1000+'Вводные'!$B$20*'Вводные'!$B$49/1000)*'Аренда'!P6*'Аренда'!P5</f>
        <v/>
      </c>
      <c r="Q7" s="47">
        <f>('Вводные'!$B$17*'Вводные'!$F$31/12/1000+'Вводные'!$B$20*'Вводные'!$B$49/1000)*'Аренда'!Q6*'Аренда'!Q5</f>
        <v/>
      </c>
      <c r="R7" s="47">
        <f>('Вводные'!$B$17*'Вводные'!$F$31/12/1000+'Вводные'!$B$20*'Вводные'!$B$49/1000)*'Аренда'!R6*'Аренда'!R5</f>
        <v/>
      </c>
      <c r="S7" s="47">
        <f>('Вводные'!$B$17*'Вводные'!$F$31/12/1000+'Вводные'!$B$20*'Вводные'!$B$49/1000)*'Аренда'!S6*'Аренда'!S5</f>
        <v/>
      </c>
      <c r="T7" s="47">
        <f>('Вводные'!$B$17*'Вводные'!$F$31/12/1000+'Вводные'!$B$20*'Вводные'!$B$49/1000)*'Аренда'!T6*'Аренда'!T5</f>
        <v/>
      </c>
      <c r="U7" s="47">
        <f>('Вводные'!$B$17*'Вводные'!$F$31/12/1000+'Вводные'!$B$20*'Вводные'!$B$49/1000)*'Аренда'!U6*'Аренда'!U5</f>
        <v/>
      </c>
      <c r="V7" s="47">
        <f>('Вводные'!$B$17*'Вводные'!$F$31/12/1000+'Вводные'!$B$20*'Вводные'!$B$49/1000)*'Аренда'!V6*'Аренда'!V5</f>
        <v/>
      </c>
      <c r="W7" s="47">
        <f>('Вводные'!$B$17*'Вводные'!$F$31/12/1000+'Вводные'!$B$20*'Вводные'!$B$49/1000)*'Аренда'!W6*'Аренда'!W5</f>
        <v/>
      </c>
      <c r="X7" s="47">
        <f>('Вводные'!$B$17*'Вводные'!$F$31/12/1000+'Вводные'!$B$20*'Вводные'!$B$49/1000)*'Аренда'!X6*'Аренда'!X5</f>
        <v/>
      </c>
      <c r="Y7" s="47">
        <f>('Вводные'!$B$17*'Вводные'!$F$31/12/1000+'Вводные'!$B$20*'Вводные'!$B$49/1000)*'Аренда'!Y6*'Аренда'!Y5</f>
        <v/>
      </c>
      <c r="Z7" s="47">
        <f>('Вводные'!$B$17*'Вводные'!$F$31/12/1000+'Вводные'!$B$20*'Вводные'!$B$49/1000)*'Аренда'!Z6*'Аренда'!Z5</f>
        <v/>
      </c>
      <c r="AA7" s="47">
        <f>('Вводные'!$B$17*'Вводные'!$F$31/12/1000+'Вводные'!$B$20*'Вводные'!$B$49/1000)*'Аренда'!AA6*'Аренда'!AA5</f>
        <v/>
      </c>
      <c r="AB7" s="47">
        <f>('Вводные'!$B$17*'Вводные'!$F$31/12/1000+'Вводные'!$B$20*'Вводные'!$B$49/1000)*'Аренда'!AB6*'Аренда'!AB5</f>
        <v/>
      </c>
      <c r="AC7" s="47">
        <f>('Вводные'!$B$17*'Вводные'!$F$31/12/1000+'Вводные'!$B$20*'Вводные'!$B$49/1000)*'Аренда'!AC6*'Аренда'!AC5</f>
        <v/>
      </c>
      <c r="AD7" s="47">
        <f>('Вводные'!$B$17*'Вводные'!$F$31/12/1000+'Вводные'!$B$20*'Вводные'!$B$49/1000)*'Аренда'!AD6*'Аренда'!AD5</f>
        <v/>
      </c>
      <c r="AE7" s="47">
        <f>('Вводные'!$B$17*'Вводные'!$F$31/12/1000+'Вводные'!$B$20*'Вводные'!$B$49/1000)*'Аренда'!AE6*'Аренда'!AE5</f>
        <v/>
      </c>
      <c r="AF7" s="47">
        <f>('Вводные'!$B$17*'Вводные'!$F$31/12/1000+'Вводные'!$B$20*'Вводные'!$B$49/1000)*'Аренда'!AF6*'Аренда'!AF5</f>
        <v/>
      </c>
      <c r="AG7" s="47">
        <f>('Вводные'!$B$17*'Вводные'!$F$31/12/1000+'Вводные'!$B$20*'Вводные'!$B$49/1000)*'Аренда'!AG6*'Аренда'!AG5</f>
        <v/>
      </c>
      <c r="AH7" s="47">
        <f>('Вводные'!$B$17*'Вводные'!$F$31/12/1000+'Вводные'!$B$20*'Вводные'!$B$49/1000)*'Аренда'!AH6*'Аренда'!AH5</f>
        <v/>
      </c>
      <c r="AI7" s="47">
        <f>('Вводные'!$B$17*'Вводные'!$F$31/12/1000+'Вводные'!$B$20*'Вводные'!$B$49/1000)*'Аренда'!AI6*'Аренда'!AI5</f>
        <v/>
      </c>
      <c r="AJ7" s="47">
        <f>('Вводные'!$B$17*'Вводные'!$F$31/12/1000+'Вводные'!$B$20*'Вводные'!$B$49/1000)*'Аренда'!AJ6*'Аренда'!AJ5</f>
        <v/>
      </c>
      <c r="AK7" s="47">
        <f>('Вводные'!$B$17*'Вводные'!$F$31/12/1000+'Вводные'!$B$20*'Вводные'!$B$49/1000)*'Аренда'!AK6*'Аренда'!AK5</f>
        <v/>
      </c>
      <c r="AL7" s="47">
        <f>('Вводные'!$B$17*'Вводные'!$F$31/12/1000+'Вводные'!$B$20*'Вводные'!$B$49/1000)*'Аренда'!AL6*'Аренда'!AL5</f>
        <v/>
      </c>
      <c r="AM7" s="47">
        <f>('Вводные'!$B$17*'Вводные'!$F$31/12/1000+'Вводные'!$B$20*'Вводные'!$B$49/1000)*'Аренда'!AM6*'Аренда'!AM5</f>
        <v/>
      </c>
      <c r="AN7" s="47">
        <f>('Вводные'!$B$17*'Вводные'!$F$31/12/1000+'Вводные'!$B$20*'Вводные'!$B$49/1000)*'Аренда'!AN6*'Аренда'!AN5</f>
        <v/>
      </c>
      <c r="AO7" s="47">
        <f>('Вводные'!$B$17*'Вводные'!$F$31/12/1000+'Вводные'!$B$20*'Вводные'!$B$49/1000)*'Аренда'!AO6*'Аренда'!AO5</f>
        <v/>
      </c>
      <c r="AP7" s="47">
        <f>('Вводные'!$B$17*'Вводные'!$F$31/12/1000+'Вводные'!$B$20*'Вводные'!$B$49/1000)*'Аренда'!AP6*'Аренда'!AP5</f>
        <v/>
      </c>
      <c r="AQ7" s="47">
        <f>('Вводные'!$B$17*'Вводные'!$F$31/12/1000+'Вводные'!$B$20*'Вводные'!$B$49/1000)*'Аренда'!AQ6*'Аренда'!AQ5</f>
        <v/>
      </c>
      <c r="AR7" s="47">
        <f>('Вводные'!$B$17*'Вводные'!$F$31/12/1000+'Вводные'!$B$20*'Вводные'!$B$49/1000)*'Аренда'!AR6*'Аренда'!AR5</f>
        <v/>
      </c>
      <c r="AS7" s="47">
        <f>('Вводные'!$B$17*'Вводные'!$F$31/12/1000+'Вводные'!$B$20*'Вводные'!$B$49/1000)*'Аренда'!AS6*'Аренда'!AS5</f>
        <v/>
      </c>
      <c r="AT7" s="47">
        <f>('Вводные'!$B$17*'Вводные'!$F$31/12/1000+'Вводные'!$B$20*'Вводные'!$B$49/1000)*'Аренда'!AT6*'Аренда'!AT5</f>
        <v/>
      </c>
      <c r="AU7" s="47">
        <f>('Вводные'!$B$17*'Вводные'!$F$31/12/1000+'Вводные'!$B$20*'Вводные'!$B$49/1000)*'Аренда'!AU6*'Аренда'!AU5</f>
        <v/>
      </c>
      <c r="AV7" s="47">
        <f>('Вводные'!$B$17*'Вводные'!$F$31/12/1000+'Вводные'!$B$20*'Вводные'!$B$49/1000)*'Аренда'!AV6*'Аренда'!AV5</f>
        <v/>
      </c>
      <c r="AW7" s="47">
        <f>('Вводные'!$B$17*'Вводные'!$F$31/12/1000+'Вводные'!$B$20*'Вводные'!$B$49/1000)*'Аренда'!AW6*'Аренда'!AW5</f>
        <v/>
      </c>
      <c r="AX7" s="47">
        <f>('Вводные'!$B$17*'Вводные'!$F$31/12/1000+'Вводные'!$B$20*'Вводные'!$B$49/1000)*'Аренда'!AX6*'Аренда'!AX5</f>
        <v/>
      </c>
      <c r="AY7" s="47">
        <f>('Вводные'!$B$17*'Вводные'!$F$31/12/1000+'Вводные'!$B$20*'Вводные'!$B$49/1000)*'Аренда'!AY6*'Аренда'!AY5</f>
        <v/>
      </c>
      <c r="AZ7" s="47">
        <f>('Вводные'!$B$17*'Вводные'!$F$31/12/1000+'Вводные'!$B$20*'Вводные'!$B$49/1000)*'Аренда'!AZ6*'Аренда'!AZ5</f>
        <v/>
      </c>
      <c r="BA7" s="47">
        <f>('Вводные'!$B$17*'Вводные'!$F$31/12/1000+'Вводные'!$B$20*'Вводные'!$B$49/1000)*'Аренда'!BA6*'Аренда'!BA5</f>
        <v/>
      </c>
      <c r="BB7" s="47">
        <f>('Вводные'!$B$17*'Вводные'!$F$31/12/1000+'Вводные'!$B$20*'Вводные'!$B$49/1000)*'Аренда'!BB6*'Аренда'!BB5</f>
        <v/>
      </c>
      <c r="BC7" s="47">
        <f>('Вводные'!$B$17*'Вводные'!$F$31/12/1000+'Вводные'!$B$20*'Вводные'!$B$49/1000)*'Аренда'!BC6*'Аренда'!BC5</f>
        <v/>
      </c>
      <c r="BD7" s="47">
        <f>('Вводные'!$B$17*'Вводные'!$F$31/12/1000+'Вводные'!$B$20*'Вводные'!$B$49/1000)*'Аренда'!BD6*'Аренда'!BD5</f>
        <v/>
      </c>
      <c r="BE7" s="47">
        <f>('Вводные'!$B$17*'Вводные'!$F$31/12/1000+'Вводные'!$B$20*'Вводные'!$B$49/1000)*'Аренда'!BE6*'Аренда'!BE5</f>
        <v/>
      </c>
      <c r="BF7" s="47">
        <f>('Вводные'!$B$17*'Вводные'!$F$31/12/1000+'Вводные'!$B$20*'Вводные'!$B$49/1000)*'Аренда'!BF6*'Аренда'!BF5</f>
        <v/>
      </c>
      <c r="BG7" s="47">
        <f>('Вводные'!$B$17*'Вводные'!$F$31/12/1000+'Вводные'!$B$20*'Вводные'!$B$49/1000)*'Аренда'!BG6*'Аренда'!BG5</f>
        <v/>
      </c>
      <c r="BH7" s="47">
        <f>('Вводные'!$B$17*'Вводные'!$F$31/12/1000+'Вводные'!$B$20*'Вводные'!$B$49/1000)*'Аренда'!BH6*'Аренда'!BH5</f>
        <v/>
      </c>
      <c r="BI7" s="47">
        <f>('Вводные'!$B$17*'Вводные'!$F$31/12/1000+'Вводные'!$B$20*'Вводные'!$B$49/1000)*'Аренда'!BI6*'Аренда'!BI5</f>
        <v/>
      </c>
      <c r="BJ7" s="47">
        <f>('Вводные'!$B$17*'Вводные'!$F$31/12/1000+'Вводные'!$B$20*'Вводные'!$B$49/1000)*'Аренда'!BJ6*'Аренда'!BJ5</f>
        <v/>
      </c>
      <c r="BK7" s="47">
        <f>('Вводные'!$B$17*'Вводные'!$F$31/12/1000+'Вводные'!$B$20*'Вводные'!$B$49/1000)*'Аренда'!BK6*'Аренда'!BK5</f>
        <v/>
      </c>
      <c r="BL7" s="47">
        <f>('Вводные'!$B$17*'Вводные'!$F$31/12/1000+'Вводные'!$B$20*'Вводные'!$B$49/1000)*'Аренда'!BL6*'Аренда'!BL5</f>
        <v/>
      </c>
      <c r="BM7" s="47">
        <f>('Вводные'!$B$17*'Вводные'!$F$31/12/1000+'Вводные'!$B$20*'Вводные'!$B$49/1000)*'Аренда'!BM6*'Аренда'!BM5</f>
        <v/>
      </c>
      <c r="BN7" s="47">
        <f>('Вводные'!$B$17*'Вводные'!$F$31/12/1000+'Вводные'!$B$20*'Вводные'!$B$49/1000)*'Аренда'!BN6*'Аренда'!BN5</f>
        <v/>
      </c>
      <c r="BO7" s="47">
        <f>('Вводные'!$B$17*'Вводные'!$F$31/12/1000+'Вводные'!$B$20*'Вводные'!$B$49/1000)*'Аренда'!BO6*'Аренда'!BO5</f>
        <v/>
      </c>
      <c r="BP7" s="47">
        <f>('Вводные'!$B$17*'Вводные'!$F$31/12/1000+'Вводные'!$B$20*'Вводные'!$B$49/1000)*'Аренда'!BP6*'Аренда'!BP5</f>
        <v/>
      </c>
      <c r="BQ7" s="47">
        <f>('Вводные'!$B$17*'Вводные'!$F$31/12/1000+'Вводные'!$B$20*'Вводные'!$B$49/1000)*'Аренда'!BQ6*'Аренда'!BQ5</f>
        <v/>
      </c>
      <c r="BR7" s="47">
        <f>('Вводные'!$B$17*'Вводные'!$F$31/12/1000+'Вводные'!$B$20*'Вводные'!$B$49/1000)*'Аренда'!BR6*'Аренда'!BR5</f>
        <v/>
      </c>
      <c r="BS7" s="47">
        <f>('Вводные'!$B$17*'Вводные'!$F$31/12/1000+'Вводные'!$B$20*'Вводные'!$B$49/1000)*'Аренда'!BS6*'Аренда'!BS5</f>
        <v/>
      </c>
      <c r="BT7" s="47">
        <f>('Вводные'!$B$17*'Вводные'!$F$31/12/1000+'Вводные'!$B$20*'Вводные'!$B$49/1000)*'Аренда'!BT6*'Аренда'!BT5</f>
        <v/>
      </c>
      <c r="BU7" s="47">
        <f>('Вводные'!$B$17*'Вводные'!$F$31/12/1000+'Вводные'!$B$20*'Вводные'!$B$49/1000)*'Аренда'!BU6*'Аренда'!BU5</f>
        <v/>
      </c>
      <c r="BV7" s="47">
        <f>('Вводные'!$B$17*'Вводные'!$F$31/12/1000+'Вводные'!$B$20*'Вводные'!$B$49/1000)*'Аренда'!BV6*'Аренда'!BV5</f>
        <v/>
      </c>
      <c r="BW7" s="47">
        <f>('Вводные'!$B$17*'Вводные'!$F$31/12/1000+'Вводные'!$B$20*'Вводные'!$B$49/1000)*'Аренда'!BW6*'Аренда'!BW5</f>
        <v/>
      </c>
      <c r="BX7" s="47">
        <f>('Вводные'!$B$17*'Вводные'!$F$31/12/1000+'Вводные'!$B$20*'Вводные'!$B$49/1000)*'Аренда'!BX6*'Аренда'!BX5</f>
        <v/>
      </c>
      <c r="BY7" s="47">
        <f>('Вводные'!$B$17*'Вводные'!$F$31/12/1000+'Вводные'!$B$20*'Вводные'!$B$49/1000)*'Аренда'!BY6*'Аренда'!BY5</f>
        <v/>
      </c>
      <c r="BZ7" s="47">
        <f>('Вводные'!$B$17*'Вводные'!$F$31/12/1000+'Вводные'!$B$20*'Вводные'!$B$49/1000)*'Аренда'!BZ6*'Аренда'!BZ5</f>
        <v/>
      </c>
      <c r="CA7" s="47">
        <f>('Вводные'!$B$17*'Вводные'!$F$31/12/1000+'Вводные'!$B$20*'Вводные'!$B$49/1000)*'Аренда'!CA6*'Аренда'!CA5</f>
        <v/>
      </c>
      <c r="CB7" s="47">
        <f>('Вводные'!$B$17*'Вводные'!$F$31/12/1000+'Вводные'!$B$20*'Вводные'!$B$49/1000)*'Аренда'!CB6*'Аренда'!CB5</f>
        <v/>
      </c>
      <c r="CC7" s="47">
        <f>('Вводные'!$B$17*'Вводные'!$F$31/12/1000+'Вводные'!$B$20*'Вводные'!$B$49/1000)*'Аренда'!CC6*'Аренда'!CC5</f>
        <v/>
      </c>
      <c r="CD7" s="47">
        <f>('Вводные'!$B$17*'Вводные'!$F$31/12/1000+'Вводные'!$B$20*'Вводные'!$B$49/1000)*'Аренда'!CD6*'Аренда'!CD5</f>
        <v/>
      </c>
      <c r="CE7" s="47">
        <f>('Вводные'!$B$17*'Вводные'!$F$31/12/1000+'Вводные'!$B$20*'Вводные'!$B$49/1000)*'Аренда'!CE6*'Аренда'!CE5</f>
        <v/>
      </c>
      <c r="CF7" s="47">
        <f>('Вводные'!$B$17*'Вводные'!$F$31/12/1000+'Вводные'!$B$20*'Вводные'!$B$49/1000)*'Аренда'!CF6*'Аренда'!CF5</f>
        <v/>
      </c>
      <c r="CG7" s="47">
        <f>('Вводные'!$B$17*'Вводные'!$F$31/12/1000+'Вводные'!$B$20*'Вводные'!$B$49/1000)*'Аренда'!CG6*'Аренда'!CG5</f>
        <v/>
      </c>
      <c r="CH7" s="47">
        <f>('Вводные'!$B$17*'Вводные'!$F$31/12/1000+'Вводные'!$B$20*'Вводные'!$B$49/1000)*'Аренда'!CH6*'Аренда'!CH5</f>
        <v/>
      </c>
      <c r="CI7" s="47">
        <f>('Вводные'!$B$17*'Вводные'!$F$31/12/1000+'Вводные'!$B$20*'Вводные'!$B$49/1000)*'Аренда'!CI6*'Аренда'!CI5</f>
        <v/>
      </c>
      <c r="CJ7" s="47">
        <f>('Вводные'!$B$17*'Вводные'!$F$31/12/1000+'Вводные'!$B$20*'Вводные'!$B$49/1000)*'Аренда'!CJ6*'Аренда'!CJ5</f>
        <v/>
      </c>
      <c r="CK7" s="47">
        <f>('Вводные'!$B$17*'Вводные'!$F$31/12/1000+'Вводные'!$B$20*'Вводные'!$B$49/1000)*'Аренда'!CK6*'Аренда'!CK5</f>
        <v/>
      </c>
      <c r="CL7" s="47">
        <f>('Вводные'!$B$17*'Вводные'!$F$31/12/1000+'Вводные'!$B$20*'Вводные'!$B$49/1000)*'Аренда'!CL6*'Аренда'!CL5</f>
        <v/>
      </c>
      <c r="CM7" s="47">
        <f>('Вводные'!$B$17*'Вводные'!$F$31/12/1000+'Вводные'!$B$20*'Вводные'!$B$49/1000)*'Аренда'!CM6*'Аренда'!CM5</f>
        <v/>
      </c>
      <c r="CN7" s="47">
        <f>('Вводные'!$B$17*'Вводные'!$F$31/12/1000+'Вводные'!$B$20*'Вводные'!$B$49/1000)*'Аренда'!CN6*'Аренда'!CN5</f>
        <v/>
      </c>
      <c r="CO7" s="47">
        <f>('Вводные'!$B$17*'Вводные'!$F$31/12/1000+'Вводные'!$B$20*'Вводные'!$B$49/1000)*'Аренда'!CO6*'Аренда'!CO5</f>
        <v/>
      </c>
      <c r="CP7" s="47">
        <f>('Вводные'!$B$17*'Вводные'!$F$31/12/1000+'Вводные'!$B$20*'Вводные'!$B$49/1000)*'Аренда'!CP6*'Аренда'!CP5</f>
        <v/>
      </c>
      <c r="CQ7" s="47">
        <f>('Вводные'!$B$17*'Вводные'!$F$31/12/1000+'Вводные'!$B$20*'Вводные'!$B$49/1000)*'Аренда'!CQ6*'Аренда'!CQ5</f>
        <v/>
      </c>
      <c r="CR7" s="47">
        <f>('Вводные'!$B$17*'Вводные'!$F$31/12/1000+'Вводные'!$B$20*'Вводные'!$B$49/1000)*'Аренда'!CR6*'Аренда'!CR5</f>
        <v/>
      </c>
      <c r="CS7" s="47">
        <f>('Вводные'!$B$17*'Вводные'!$F$31/12/1000+'Вводные'!$B$20*'Вводные'!$B$49/1000)*'Аренда'!CS6*'Аренда'!CS5</f>
        <v/>
      </c>
      <c r="CT7" s="47">
        <f>('Вводные'!$B$17*'Вводные'!$F$31/12/1000+'Вводные'!$B$20*'Вводные'!$B$49/1000)*'Аренда'!CT6*'Аренда'!CT5</f>
        <v/>
      </c>
      <c r="CU7" s="47">
        <f>('Вводные'!$B$17*'Вводные'!$F$31/12/1000+'Вводные'!$B$20*'Вводные'!$B$49/1000)*'Аренда'!CU6*'Аренда'!CU5</f>
        <v/>
      </c>
      <c r="CV7" s="47">
        <f>('Вводные'!$B$17*'Вводные'!$F$31/12/1000+'Вводные'!$B$20*'Вводные'!$B$49/1000)*'Аренда'!CV6*'Аренда'!CV5</f>
        <v/>
      </c>
      <c r="CW7" s="47">
        <f>('Вводные'!$B$17*'Вводные'!$F$31/12/1000+'Вводные'!$B$20*'Вводные'!$B$49/1000)*'Аренда'!CW6*'Аренда'!CW5</f>
        <v/>
      </c>
      <c r="CX7" s="47">
        <f>('Вводные'!$B$17*'Вводные'!$F$31/12/1000+'Вводные'!$B$20*'Вводные'!$B$49/1000)*'Аренда'!CX6*'Аренда'!CX5</f>
        <v/>
      </c>
      <c r="CY7" s="47">
        <f>('Вводные'!$B$17*'Вводные'!$F$31/12/1000+'Вводные'!$B$20*'Вводные'!$B$49/1000)*'Аренда'!CY6*'Аренда'!CY5</f>
        <v/>
      </c>
      <c r="CZ7" s="47">
        <f>('Вводные'!$B$17*'Вводные'!$F$31/12/1000+'Вводные'!$B$20*'Вводные'!$B$49/1000)*'Аренда'!CZ6*'Аренда'!CZ5</f>
        <v/>
      </c>
      <c r="DA7" s="47">
        <f>('Вводные'!$B$17*'Вводные'!$F$31/12/1000+'Вводные'!$B$20*'Вводные'!$B$49/1000)*'Аренда'!DA6*'Аренда'!DA5</f>
        <v/>
      </c>
      <c r="DB7" s="47">
        <f>('Вводные'!$B$17*'Вводные'!$F$31/12/1000+'Вводные'!$B$20*'Вводные'!$B$49/1000)*'Аренда'!DB6*'Аренда'!DB5</f>
        <v/>
      </c>
      <c r="DC7" s="47">
        <f>('Вводные'!$B$17*'Вводные'!$F$31/12/1000+'Вводные'!$B$20*'Вводные'!$B$49/1000)*'Аренда'!DC6*'Аренда'!DC5</f>
        <v/>
      </c>
      <c r="DD7" s="47">
        <f>('Вводные'!$B$17*'Вводные'!$F$31/12/1000+'Вводные'!$B$20*'Вводные'!$B$49/1000)*'Аренда'!DD6*'Аренда'!DD5</f>
        <v/>
      </c>
      <c r="DE7" s="47">
        <f>('Вводные'!$B$17*'Вводные'!$F$31/12/1000+'Вводные'!$B$20*'Вводные'!$B$49/1000)*'Аренда'!DE6*'Аренда'!DE5</f>
        <v/>
      </c>
      <c r="DF7" s="47">
        <f>('Вводные'!$B$17*'Вводные'!$F$31/12/1000+'Вводные'!$B$20*'Вводные'!$B$49/1000)*'Аренда'!DF6*'Аренда'!DF5</f>
        <v/>
      </c>
      <c r="DG7" s="47">
        <f>('Вводные'!$B$17*'Вводные'!$F$31/12/1000+'Вводные'!$B$20*'Вводные'!$B$49/1000)*'Аренда'!DG6*'Аренда'!DG5</f>
        <v/>
      </c>
      <c r="DH7" s="47">
        <f>('Вводные'!$B$17*'Вводные'!$F$31/12/1000+'Вводные'!$B$20*'Вводные'!$B$49/1000)*'Аренда'!DH6*'Аренда'!DH5</f>
        <v/>
      </c>
      <c r="DI7" s="47">
        <f>('Вводные'!$B$17*'Вводные'!$F$31/12/1000+'Вводные'!$B$20*'Вводные'!$B$49/1000)*'Аренда'!DI6*'Аренда'!DI5</f>
        <v/>
      </c>
      <c r="DJ7" s="47">
        <f>('Вводные'!$B$17*'Вводные'!$F$31/12/1000+'Вводные'!$B$20*'Вводные'!$B$49/1000)*'Аренда'!DJ6*'Аренда'!DJ5</f>
        <v/>
      </c>
      <c r="DK7" s="47">
        <f>('Вводные'!$B$17*'Вводные'!$F$31/12/1000+'Вводные'!$B$20*'Вводные'!$B$49/1000)*'Аренда'!DK6*'Аренда'!DK5</f>
        <v/>
      </c>
      <c r="DL7" s="47">
        <f>('Вводные'!$B$17*'Вводные'!$F$31/12/1000+'Вводные'!$B$20*'Вводные'!$B$49/1000)*'Аренда'!DL6*'Аренда'!DL5</f>
        <v/>
      </c>
      <c r="DM7" s="47">
        <f>('Вводные'!$B$17*'Вводные'!$F$31/12/1000+'Вводные'!$B$20*'Вводные'!$B$49/1000)*'Аренда'!DM6*'Аренда'!DM5</f>
        <v/>
      </c>
    </row>
    <row r="8">
      <c r="A8" s="42" t="inlineStr">
        <is>
          <t>Доход аренды</t>
        </is>
      </c>
      <c r="B8" s="40">
        <f>SUM(D8:DM8)</f>
        <v/>
      </c>
      <c r="C8" s="37" t="inlineStr">
        <is>
          <t>млн ₽</t>
        </is>
      </c>
      <c r="D8" s="40">
        <f>'Аренда'!D7*'СРОКИ'!D15</f>
        <v/>
      </c>
      <c r="E8" s="40">
        <f>'Аренда'!E7*'СРОКИ'!E15</f>
        <v/>
      </c>
      <c r="F8" s="40">
        <f>'Аренда'!F7*'СРОКИ'!F15</f>
        <v/>
      </c>
      <c r="G8" s="40">
        <f>'Аренда'!G7*'СРОКИ'!G15</f>
        <v/>
      </c>
      <c r="H8" s="40">
        <f>'Аренда'!H7*'СРОКИ'!H15</f>
        <v/>
      </c>
      <c r="I8" s="40">
        <f>'Аренда'!I7*'СРОКИ'!I15</f>
        <v/>
      </c>
      <c r="J8" s="40">
        <f>'Аренда'!J7*'СРОКИ'!J15</f>
        <v/>
      </c>
      <c r="K8" s="40">
        <f>'Аренда'!K7*'СРОКИ'!K15</f>
        <v/>
      </c>
      <c r="L8" s="40">
        <f>'Аренда'!L7*'СРОКИ'!L15</f>
        <v/>
      </c>
      <c r="M8" s="40">
        <f>'Аренда'!M7*'СРОКИ'!M15</f>
        <v/>
      </c>
      <c r="N8" s="40">
        <f>'Аренда'!N7*'СРОКИ'!N15</f>
        <v/>
      </c>
      <c r="O8" s="40">
        <f>'Аренда'!O7*'СРОКИ'!O15</f>
        <v/>
      </c>
      <c r="P8" s="40">
        <f>'Аренда'!P7*'СРОКИ'!P15</f>
        <v/>
      </c>
      <c r="Q8" s="40">
        <f>'Аренда'!Q7*'СРОКИ'!Q15</f>
        <v/>
      </c>
      <c r="R8" s="40">
        <f>'Аренда'!R7*'СРОКИ'!R15</f>
        <v/>
      </c>
      <c r="S8" s="40">
        <f>'Аренда'!S7*'СРОКИ'!S15</f>
        <v/>
      </c>
      <c r="T8" s="40">
        <f>'Аренда'!T7*'СРОКИ'!T15</f>
        <v/>
      </c>
      <c r="U8" s="40">
        <f>'Аренда'!U7*'СРОКИ'!U15</f>
        <v/>
      </c>
      <c r="V8" s="40">
        <f>'Аренда'!V7*'СРОКИ'!V15</f>
        <v/>
      </c>
      <c r="W8" s="40">
        <f>'Аренда'!W7*'СРОКИ'!W15</f>
        <v/>
      </c>
      <c r="X8" s="40">
        <f>'Аренда'!X7*'СРОКИ'!X15</f>
        <v/>
      </c>
      <c r="Y8" s="40">
        <f>'Аренда'!Y7*'СРОКИ'!Y15</f>
        <v/>
      </c>
      <c r="Z8" s="40">
        <f>'Аренда'!Z7*'СРОКИ'!Z15</f>
        <v/>
      </c>
      <c r="AA8" s="40">
        <f>'Аренда'!AA7*'СРОКИ'!AA15</f>
        <v/>
      </c>
      <c r="AB8" s="40">
        <f>'Аренда'!AB7*'СРОКИ'!AB15</f>
        <v/>
      </c>
      <c r="AC8" s="40">
        <f>'Аренда'!AC7*'СРОКИ'!AC15</f>
        <v/>
      </c>
      <c r="AD8" s="40">
        <f>'Аренда'!AD7*'СРОКИ'!AD15</f>
        <v/>
      </c>
      <c r="AE8" s="40">
        <f>'Аренда'!AE7*'СРОКИ'!AE15</f>
        <v/>
      </c>
      <c r="AF8" s="40">
        <f>'Аренда'!AF7*'СРОКИ'!AF15</f>
        <v/>
      </c>
      <c r="AG8" s="40">
        <f>'Аренда'!AG7*'СРОКИ'!AG15</f>
        <v/>
      </c>
      <c r="AH8" s="40">
        <f>'Аренда'!AH7*'СРОКИ'!AH15</f>
        <v/>
      </c>
      <c r="AI8" s="40">
        <f>'Аренда'!AI7*'СРОКИ'!AI15</f>
        <v/>
      </c>
      <c r="AJ8" s="40">
        <f>'Аренда'!AJ7*'СРОКИ'!AJ15</f>
        <v/>
      </c>
      <c r="AK8" s="40">
        <f>'Аренда'!AK7*'СРОКИ'!AK15</f>
        <v/>
      </c>
      <c r="AL8" s="40">
        <f>'Аренда'!AL7*'СРОКИ'!AL15</f>
        <v/>
      </c>
      <c r="AM8" s="40">
        <f>'Аренда'!AM7*'СРОКИ'!AM15</f>
        <v/>
      </c>
      <c r="AN8" s="40">
        <f>'Аренда'!AN7*'СРОКИ'!AN15</f>
        <v/>
      </c>
      <c r="AO8" s="40">
        <f>'Аренда'!AO7*'СРОКИ'!AO15</f>
        <v/>
      </c>
      <c r="AP8" s="40">
        <f>'Аренда'!AP7*'СРОКИ'!AP15</f>
        <v/>
      </c>
      <c r="AQ8" s="40">
        <f>'Аренда'!AQ7*'СРОКИ'!AQ15</f>
        <v/>
      </c>
      <c r="AR8" s="40">
        <f>'Аренда'!AR7*'СРОКИ'!AR15</f>
        <v/>
      </c>
      <c r="AS8" s="40">
        <f>'Аренда'!AS7*'СРОКИ'!AS15</f>
        <v/>
      </c>
      <c r="AT8" s="40">
        <f>'Аренда'!AT7*'СРОКИ'!AT15</f>
        <v/>
      </c>
      <c r="AU8" s="40">
        <f>'Аренда'!AU7*'СРОКИ'!AU15</f>
        <v/>
      </c>
      <c r="AV8" s="40">
        <f>'Аренда'!AV7*'СРОКИ'!AV15</f>
        <v/>
      </c>
      <c r="AW8" s="40">
        <f>'Аренда'!AW7*'СРОКИ'!AW15</f>
        <v/>
      </c>
      <c r="AX8" s="40">
        <f>'Аренда'!AX7*'СРОКИ'!AX15</f>
        <v/>
      </c>
      <c r="AY8" s="40">
        <f>'Аренда'!AY7*'СРОКИ'!AY15</f>
        <v/>
      </c>
      <c r="AZ8" s="40">
        <f>'Аренда'!AZ7*'СРОКИ'!AZ15</f>
        <v/>
      </c>
      <c r="BA8" s="40">
        <f>'Аренда'!BA7*'СРОКИ'!BA15</f>
        <v/>
      </c>
      <c r="BB8" s="40">
        <f>'Аренда'!BB7*'СРОКИ'!BB15</f>
        <v/>
      </c>
      <c r="BC8" s="40">
        <f>'Аренда'!BC7*'СРОКИ'!BC15</f>
        <v/>
      </c>
      <c r="BD8" s="40">
        <f>'Аренда'!BD7*'СРОКИ'!BD15</f>
        <v/>
      </c>
      <c r="BE8" s="40">
        <f>'Аренда'!BE7*'СРОКИ'!BE15</f>
        <v/>
      </c>
      <c r="BF8" s="40">
        <f>'Аренда'!BF7*'СРОКИ'!BF15</f>
        <v/>
      </c>
      <c r="BG8" s="40">
        <f>'Аренда'!BG7*'СРОКИ'!BG15</f>
        <v/>
      </c>
      <c r="BH8" s="40">
        <f>'Аренда'!BH7*'СРОКИ'!BH15</f>
        <v/>
      </c>
      <c r="BI8" s="40">
        <f>'Аренда'!BI7*'СРОКИ'!BI15</f>
        <v/>
      </c>
      <c r="BJ8" s="40">
        <f>'Аренда'!BJ7*'СРОКИ'!BJ15</f>
        <v/>
      </c>
      <c r="BK8" s="40">
        <f>'Аренда'!BK7*'СРОКИ'!BK15</f>
        <v/>
      </c>
      <c r="BL8" s="40">
        <f>'Аренда'!BL7*'СРОКИ'!BL15</f>
        <v/>
      </c>
      <c r="BM8" s="40">
        <f>'Аренда'!BM7*'СРОКИ'!BM15</f>
        <v/>
      </c>
      <c r="BN8" s="40">
        <f>'Аренда'!BN7*'СРОКИ'!BN15</f>
        <v/>
      </c>
      <c r="BO8" s="40">
        <f>'Аренда'!BO7*'СРОКИ'!BO15</f>
        <v/>
      </c>
      <c r="BP8" s="40">
        <f>'Аренда'!BP7*'СРОКИ'!BP15</f>
        <v/>
      </c>
      <c r="BQ8" s="40">
        <f>'Аренда'!BQ7*'СРОКИ'!BQ15</f>
        <v/>
      </c>
      <c r="BR8" s="40">
        <f>'Аренда'!BR7*'СРОКИ'!BR15</f>
        <v/>
      </c>
      <c r="BS8" s="40">
        <f>'Аренда'!BS7*'СРОКИ'!BS15</f>
        <v/>
      </c>
      <c r="BT8" s="40">
        <f>'Аренда'!BT7*'СРОКИ'!BT15</f>
        <v/>
      </c>
      <c r="BU8" s="40">
        <f>'Аренда'!BU7*'СРОКИ'!BU15</f>
        <v/>
      </c>
      <c r="BV8" s="40">
        <f>'Аренда'!BV7*'СРОКИ'!BV15</f>
        <v/>
      </c>
      <c r="BW8" s="40">
        <f>'Аренда'!BW7*'СРОКИ'!BW15</f>
        <v/>
      </c>
      <c r="BX8" s="40">
        <f>'Аренда'!BX7*'СРОКИ'!BX15</f>
        <v/>
      </c>
      <c r="BY8" s="40">
        <f>'Аренда'!BY7*'СРОКИ'!BY15</f>
        <v/>
      </c>
      <c r="BZ8" s="40">
        <f>'Аренда'!BZ7*'СРОКИ'!BZ15</f>
        <v/>
      </c>
      <c r="CA8" s="40">
        <f>'Аренда'!CA7*'СРОКИ'!CA15</f>
        <v/>
      </c>
      <c r="CB8" s="40">
        <f>'Аренда'!CB7*'СРОКИ'!CB15</f>
        <v/>
      </c>
      <c r="CC8" s="40">
        <f>'Аренда'!CC7*'СРОКИ'!CC15</f>
        <v/>
      </c>
      <c r="CD8" s="40">
        <f>'Аренда'!CD7*'СРОКИ'!CD15</f>
        <v/>
      </c>
      <c r="CE8" s="40">
        <f>'Аренда'!CE7*'СРОКИ'!CE15</f>
        <v/>
      </c>
      <c r="CF8" s="40">
        <f>'Аренда'!CF7*'СРОКИ'!CF15</f>
        <v/>
      </c>
      <c r="CG8" s="40">
        <f>'Аренда'!CG7*'СРОКИ'!CG15</f>
        <v/>
      </c>
      <c r="CH8" s="40">
        <f>'Аренда'!CH7*'СРОКИ'!CH15</f>
        <v/>
      </c>
      <c r="CI8" s="40">
        <f>'Аренда'!CI7*'СРОКИ'!CI15</f>
        <v/>
      </c>
      <c r="CJ8" s="40">
        <f>'Аренда'!CJ7*'СРОКИ'!CJ15</f>
        <v/>
      </c>
      <c r="CK8" s="40">
        <f>'Аренда'!CK7*'СРОКИ'!CK15</f>
        <v/>
      </c>
      <c r="CL8" s="40">
        <f>'Аренда'!CL7*'СРОКИ'!CL15</f>
        <v/>
      </c>
      <c r="CM8" s="40">
        <f>'Аренда'!CM7*'СРОКИ'!CM15</f>
        <v/>
      </c>
      <c r="CN8" s="40">
        <f>'Аренда'!CN7*'СРОКИ'!CN15</f>
        <v/>
      </c>
      <c r="CO8" s="40">
        <f>'Аренда'!CO7*'СРОКИ'!CO15</f>
        <v/>
      </c>
      <c r="CP8" s="40">
        <f>'Аренда'!CP7*'СРОКИ'!CP15</f>
        <v/>
      </c>
      <c r="CQ8" s="40">
        <f>'Аренда'!CQ7*'СРОКИ'!CQ15</f>
        <v/>
      </c>
      <c r="CR8" s="40">
        <f>'Аренда'!CR7*'СРОКИ'!CR15</f>
        <v/>
      </c>
      <c r="CS8" s="40">
        <f>'Аренда'!CS7*'СРОКИ'!CS15</f>
        <v/>
      </c>
      <c r="CT8" s="40">
        <f>'Аренда'!CT7*'СРОКИ'!CT15</f>
        <v/>
      </c>
      <c r="CU8" s="40">
        <f>'Аренда'!CU7*'СРОКИ'!CU15</f>
        <v/>
      </c>
      <c r="CV8" s="40">
        <f>'Аренда'!CV7*'СРОКИ'!CV15</f>
        <v/>
      </c>
      <c r="CW8" s="40">
        <f>'Аренда'!CW7*'СРОКИ'!CW15</f>
        <v/>
      </c>
      <c r="CX8" s="40">
        <f>'Аренда'!CX7*'СРОКИ'!CX15</f>
        <v/>
      </c>
      <c r="CY8" s="40">
        <f>'Аренда'!CY7*'СРОКИ'!CY15</f>
        <v/>
      </c>
      <c r="CZ8" s="40">
        <f>'Аренда'!CZ7*'СРОКИ'!CZ15</f>
        <v/>
      </c>
      <c r="DA8" s="40">
        <f>'Аренда'!DA7*'СРОКИ'!DA15</f>
        <v/>
      </c>
      <c r="DB8" s="40">
        <f>'Аренда'!DB7*'СРОКИ'!DB15</f>
        <v/>
      </c>
      <c r="DC8" s="40">
        <f>'Аренда'!DC7*'СРОКИ'!DC15</f>
        <v/>
      </c>
      <c r="DD8" s="40">
        <f>'Аренда'!DD7*'СРОКИ'!DD15</f>
        <v/>
      </c>
      <c r="DE8" s="40">
        <f>'Аренда'!DE7*'СРОКИ'!DE15</f>
        <v/>
      </c>
      <c r="DF8" s="40">
        <f>'Аренда'!DF7*'СРОКИ'!DF15</f>
        <v/>
      </c>
      <c r="DG8" s="40">
        <f>'Аренда'!DG7*'СРОКИ'!DG15</f>
        <v/>
      </c>
      <c r="DH8" s="40">
        <f>'Аренда'!DH7*'СРОКИ'!DH15</f>
        <v/>
      </c>
      <c r="DI8" s="40">
        <f>'Аренда'!DI7*'СРОКИ'!DI15</f>
        <v/>
      </c>
      <c r="DJ8" s="40">
        <f>'Аренда'!DJ7*'СРОКИ'!DJ15</f>
        <v/>
      </c>
      <c r="DK8" s="40">
        <f>'Аренда'!DK7*'СРОКИ'!DK15</f>
        <v/>
      </c>
      <c r="DL8" s="40">
        <f>'Аренда'!DL7*'СРОКИ'!DL15</f>
        <v/>
      </c>
      <c r="DM8" s="40">
        <f>'Аренда'!DM7*'СРОКИ'!DM15</f>
        <v/>
      </c>
    </row>
    <row r="9">
      <c r="A9" s="36" t="inlineStr">
        <is>
          <t>Расходы эксплуатации</t>
        </is>
      </c>
      <c r="B9" s="40">
        <f>SUM(D9:DM9)</f>
        <v/>
      </c>
      <c r="C9" s="37" t="inlineStr">
        <is>
          <t>млн ₽</t>
        </is>
      </c>
      <c r="D9" s="47">
        <f>'Аренда'!D8*'Вводные'!$F$34</f>
        <v/>
      </c>
      <c r="E9" s="47">
        <f>'Аренда'!E8*'Вводные'!$F$34</f>
        <v/>
      </c>
      <c r="F9" s="47">
        <f>'Аренда'!F8*'Вводные'!$F$34</f>
        <v/>
      </c>
      <c r="G9" s="47">
        <f>'Аренда'!G8*'Вводные'!$F$34</f>
        <v/>
      </c>
      <c r="H9" s="47">
        <f>'Аренда'!H8*'Вводные'!$F$34</f>
        <v/>
      </c>
      <c r="I9" s="47">
        <f>'Аренда'!I8*'Вводные'!$F$34</f>
        <v/>
      </c>
      <c r="J9" s="47">
        <f>'Аренда'!J8*'Вводные'!$F$34</f>
        <v/>
      </c>
      <c r="K9" s="47">
        <f>'Аренда'!K8*'Вводные'!$F$34</f>
        <v/>
      </c>
      <c r="L9" s="47">
        <f>'Аренда'!L8*'Вводные'!$F$34</f>
        <v/>
      </c>
      <c r="M9" s="47">
        <f>'Аренда'!M8*'Вводные'!$F$34</f>
        <v/>
      </c>
      <c r="N9" s="47">
        <f>'Аренда'!N8*'Вводные'!$F$34</f>
        <v/>
      </c>
      <c r="O9" s="47">
        <f>'Аренда'!O8*'Вводные'!$F$34</f>
        <v/>
      </c>
      <c r="P9" s="47">
        <f>'Аренда'!P8*'Вводные'!$F$34</f>
        <v/>
      </c>
      <c r="Q9" s="47">
        <f>'Аренда'!Q8*'Вводные'!$F$34</f>
        <v/>
      </c>
      <c r="R9" s="47">
        <f>'Аренда'!R8*'Вводные'!$F$34</f>
        <v/>
      </c>
      <c r="S9" s="47">
        <f>'Аренда'!S8*'Вводные'!$F$34</f>
        <v/>
      </c>
      <c r="T9" s="47">
        <f>'Аренда'!T8*'Вводные'!$F$34</f>
        <v/>
      </c>
      <c r="U9" s="47">
        <f>'Аренда'!U8*'Вводные'!$F$34</f>
        <v/>
      </c>
      <c r="V9" s="47">
        <f>'Аренда'!V8*'Вводные'!$F$34</f>
        <v/>
      </c>
      <c r="W9" s="47">
        <f>'Аренда'!W8*'Вводные'!$F$34</f>
        <v/>
      </c>
      <c r="X9" s="47">
        <f>'Аренда'!X8*'Вводные'!$F$34</f>
        <v/>
      </c>
      <c r="Y9" s="47">
        <f>'Аренда'!Y8*'Вводные'!$F$34</f>
        <v/>
      </c>
      <c r="Z9" s="47">
        <f>'Аренда'!Z8*'Вводные'!$F$34</f>
        <v/>
      </c>
      <c r="AA9" s="47">
        <f>'Аренда'!AA8*'Вводные'!$F$34</f>
        <v/>
      </c>
      <c r="AB9" s="47">
        <f>'Аренда'!AB8*'Вводные'!$F$34</f>
        <v/>
      </c>
      <c r="AC9" s="47">
        <f>'Аренда'!AC8*'Вводные'!$F$34</f>
        <v/>
      </c>
      <c r="AD9" s="47">
        <f>'Аренда'!AD8*'Вводные'!$F$34</f>
        <v/>
      </c>
      <c r="AE9" s="47">
        <f>'Аренда'!AE8*'Вводные'!$F$34</f>
        <v/>
      </c>
      <c r="AF9" s="47">
        <f>'Аренда'!AF8*'Вводные'!$F$34</f>
        <v/>
      </c>
      <c r="AG9" s="47">
        <f>'Аренда'!AG8*'Вводные'!$F$34</f>
        <v/>
      </c>
      <c r="AH9" s="47">
        <f>'Аренда'!AH8*'Вводные'!$F$34</f>
        <v/>
      </c>
      <c r="AI9" s="47">
        <f>'Аренда'!AI8*'Вводные'!$F$34</f>
        <v/>
      </c>
      <c r="AJ9" s="47">
        <f>'Аренда'!AJ8*'Вводные'!$F$34</f>
        <v/>
      </c>
      <c r="AK9" s="47">
        <f>'Аренда'!AK8*'Вводные'!$F$34</f>
        <v/>
      </c>
      <c r="AL9" s="47">
        <f>'Аренда'!AL8*'Вводные'!$F$34</f>
        <v/>
      </c>
      <c r="AM9" s="47">
        <f>'Аренда'!AM8*'Вводные'!$F$34</f>
        <v/>
      </c>
      <c r="AN9" s="47">
        <f>'Аренда'!AN8*'Вводные'!$F$34</f>
        <v/>
      </c>
      <c r="AO9" s="47">
        <f>'Аренда'!AO8*'Вводные'!$F$34</f>
        <v/>
      </c>
      <c r="AP9" s="47">
        <f>'Аренда'!AP8*'Вводные'!$F$34</f>
        <v/>
      </c>
      <c r="AQ9" s="47">
        <f>'Аренда'!AQ8*'Вводные'!$F$34</f>
        <v/>
      </c>
      <c r="AR9" s="47">
        <f>'Аренда'!AR8*'Вводные'!$F$34</f>
        <v/>
      </c>
      <c r="AS9" s="47">
        <f>'Аренда'!AS8*'Вводные'!$F$34</f>
        <v/>
      </c>
      <c r="AT9" s="47">
        <f>'Аренда'!AT8*'Вводные'!$F$34</f>
        <v/>
      </c>
      <c r="AU9" s="47">
        <f>'Аренда'!AU8*'Вводные'!$F$34</f>
        <v/>
      </c>
      <c r="AV9" s="47">
        <f>'Аренда'!AV8*'Вводные'!$F$34</f>
        <v/>
      </c>
      <c r="AW9" s="47">
        <f>'Аренда'!AW8*'Вводные'!$F$34</f>
        <v/>
      </c>
      <c r="AX9" s="47">
        <f>'Аренда'!AX8*'Вводные'!$F$34</f>
        <v/>
      </c>
      <c r="AY9" s="47">
        <f>'Аренда'!AY8*'Вводные'!$F$34</f>
        <v/>
      </c>
      <c r="AZ9" s="47">
        <f>'Аренда'!AZ8*'Вводные'!$F$34</f>
        <v/>
      </c>
      <c r="BA9" s="47">
        <f>'Аренда'!BA8*'Вводные'!$F$34</f>
        <v/>
      </c>
      <c r="BB9" s="47">
        <f>'Аренда'!BB8*'Вводные'!$F$34</f>
        <v/>
      </c>
      <c r="BC9" s="47">
        <f>'Аренда'!BC8*'Вводные'!$F$34</f>
        <v/>
      </c>
      <c r="BD9" s="47">
        <f>'Аренда'!BD8*'Вводные'!$F$34</f>
        <v/>
      </c>
      <c r="BE9" s="47">
        <f>'Аренда'!BE8*'Вводные'!$F$34</f>
        <v/>
      </c>
      <c r="BF9" s="47">
        <f>'Аренда'!BF8*'Вводные'!$F$34</f>
        <v/>
      </c>
      <c r="BG9" s="47">
        <f>'Аренда'!BG8*'Вводные'!$F$34</f>
        <v/>
      </c>
      <c r="BH9" s="47">
        <f>'Аренда'!BH8*'Вводные'!$F$34</f>
        <v/>
      </c>
      <c r="BI9" s="47">
        <f>'Аренда'!BI8*'Вводные'!$F$34</f>
        <v/>
      </c>
      <c r="BJ9" s="47">
        <f>'Аренда'!BJ8*'Вводные'!$F$34</f>
        <v/>
      </c>
      <c r="BK9" s="47">
        <f>'Аренда'!BK8*'Вводные'!$F$34</f>
        <v/>
      </c>
      <c r="BL9" s="47">
        <f>'Аренда'!BL8*'Вводные'!$F$34</f>
        <v/>
      </c>
      <c r="BM9" s="47">
        <f>'Аренда'!BM8*'Вводные'!$F$34</f>
        <v/>
      </c>
      <c r="BN9" s="47">
        <f>'Аренда'!BN8*'Вводные'!$F$34</f>
        <v/>
      </c>
      <c r="BO9" s="47">
        <f>'Аренда'!BO8*'Вводные'!$F$34</f>
        <v/>
      </c>
      <c r="BP9" s="47">
        <f>'Аренда'!BP8*'Вводные'!$F$34</f>
        <v/>
      </c>
      <c r="BQ9" s="47">
        <f>'Аренда'!BQ8*'Вводные'!$F$34</f>
        <v/>
      </c>
      <c r="BR9" s="47">
        <f>'Аренда'!BR8*'Вводные'!$F$34</f>
        <v/>
      </c>
      <c r="BS9" s="47">
        <f>'Аренда'!BS8*'Вводные'!$F$34</f>
        <v/>
      </c>
      <c r="BT9" s="47">
        <f>'Аренда'!BT8*'Вводные'!$F$34</f>
        <v/>
      </c>
      <c r="BU9" s="47">
        <f>'Аренда'!BU8*'Вводные'!$F$34</f>
        <v/>
      </c>
      <c r="BV9" s="47">
        <f>'Аренда'!BV8*'Вводные'!$F$34</f>
        <v/>
      </c>
      <c r="BW9" s="47">
        <f>'Аренда'!BW8*'Вводные'!$F$34</f>
        <v/>
      </c>
      <c r="BX9" s="47">
        <f>'Аренда'!BX8*'Вводные'!$F$34</f>
        <v/>
      </c>
      <c r="BY9" s="47">
        <f>'Аренда'!BY8*'Вводные'!$F$34</f>
        <v/>
      </c>
      <c r="BZ9" s="47">
        <f>'Аренда'!BZ8*'Вводные'!$F$34</f>
        <v/>
      </c>
      <c r="CA9" s="47">
        <f>'Аренда'!CA8*'Вводные'!$F$34</f>
        <v/>
      </c>
      <c r="CB9" s="47">
        <f>'Аренда'!CB8*'Вводные'!$F$34</f>
        <v/>
      </c>
      <c r="CC9" s="47">
        <f>'Аренда'!CC8*'Вводные'!$F$34</f>
        <v/>
      </c>
      <c r="CD9" s="47">
        <f>'Аренда'!CD8*'Вводные'!$F$34</f>
        <v/>
      </c>
      <c r="CE9" s="47">
        <f>'Аренда'!CE8*'Вводные'!$F$34</f>
        <v/>
      </c>
      <c r="CF9" s="47">
        <f>'Аренда'!CF8*'Вводные'!$F$34</f>
        <v/>
      </c>
      <c r="CG9" s="47">
        <f>'Аренда'!CG8*'Вводные'!$F$34</f>
        <v/>
      </c>
      <c r="CH9" s="47">
        <f>'Аренда'!CH8*'Вводные'!$F$34</f>
        <v/>
      </c>
      <c r="CI9" s="47">
        <f>'Аренда'!CI8*'Вводные'!$F$34</f>
        <v/>
      </c>
      <c r="CJ9" s="47">
        <f>'Аренда'!CJ8*'Вводные'!$F$34</f>
        <v/>
      </c>
      <c r="CK9" s="47">
        <f>'Аренда'!CK8*'Вводные'!$F$34</f>
        <v/>
      </c>
      <c r="CL9" s="47">
        <f>'Аренда'!CL8*'Вводные'!$F$34</f>
        <v/>
      </c>
      <c r="CM9" s="47">
        <f>'Аренда'!CM8*'Вводные'!$F$34</f>
        <v/>
      </c>
      <c r="CN9" s="47">
        <f>'Аренда'!CN8*'Вводные'!$F$34</f>
        <v/>
      </c>
      <c r="CO9" s="47">
        <f>'Аренда'!CO8*'Вводные'!$F$34</f>
        <v/>
      </c>
      <c r="CP9" s="47">
        <f>'Аренда'!CP8*'Вводные'!$F$34</f>
        <v/>
      </c>
      <c r="CQ9" s="47">
        <f>'Аренда'!CQ8*'Вводные'!$F$34</f>
        <v/>
      </c>
      <c r="CR9" s="47">
        <f>'Аренда'!CR8*'Вводные'!$F$34</f>
        <v/>
      </c>
      <c r="CS9" s="47">
        <f>'Аренда'!CS8*'Вводные'!$F$34</f>
        <v/>
      </c>
      <c r="CT9" s="47">
        <f>'Аренда'!CT8*'Вводные'!$F$34</f>
        <v/>
      </c>
      <c r="CU9" s="47">
        <f>'Аренда'!CU8*'Вводные'!$F$34</f>
        <v/>
      </c>
      <c r="CV9" s="47">
        <f>'Аренда'!CV8*'Вводные'!$F$34</f>
        <v/>
      </c>
      <c r="CW9" s="47">
        <f>'Аренда'!CW8*'Вводные'!$F$34</f>
        <v/>
      </c>
      <c r="CX9" s="47">
        <f>'Аренда'!CX8*'Вводные'!$F$34</f>
        <v/>
      </c>
      <c r="CY9" s="47">
        <f>'Аренда'!CY8*'Вводные'!$F$34</f>
        <v/>
      </c>
      <c r="CZ9" s="47">
        <f>'Аренда'!CZ8*'Вводные'!$F$34</f>
        <v/>
      </c>
      <c r="DA9" s="47">
        <f>'Аренда'!DA8*'Вводные'!$F$34</f>
        <v/>
      </c>
      <c r="DB9" s="47">
        <f>'Аренда'!DB8*'Вводные'!$F$34</f>
        <v/>
      </c>
      <c r="DC9" s="47">
        <f>'Аренда'!DC8*'Вводные'!$F$34</f>
        <v/>
      </c>
      <c r="DD9" s="47">
        <f>'Аренда'!DD8*'Вводные'!$F$34</f>
        <v/>
      </c>
      <c r="DE9" s="47">
        <f>'Аренда'!DE8*'Вводные'!$F$34</f>
        <v/>
      </c>
      <c r="DF9" s="47">
        <f>'Аренда'!DF8*'Вводные'!$F$34</f>
        <v/>
      </c>
      <c r="DG9" s="47">
        <f>'Аренда'!DG8*'Вводные'!$F$34</f>
        <v/>
      </c>
      <c r="DH9" s="47">
        <f>'Аренда'!DH8*'Вводные'!$F$34</f>
        <v/>
      </c>
      <c r="DI9" s="47">
        <f>'Аренда'!DI8*'Вводные'!$F$34</f>
        <v/>
      </c>
      <c r="DJ9" s="47">
        <f>'Аренда'!DJ8*'Вводные'!$F$34</f>
        <v/>
      </c>
      <c r="DK9" s="47">
        <f>'Аренда'!DK8*'Вводные'!$F$34</f>
        <v/>
      </c>
      <c r="DL9" s="47">
        <f>'Аренда'!DL8*'Вводные'!$F$34</f>
        <v/>
      </c>
      <c r="DM9" s="47">
        <f>'Аренда'!DM8*'Вводные'!$F$34</f>
        <v/>
      </c>
    </row>
    <row r="10">
      <c r="A10" s="36" t="inlineStr">
        <is>
          <t>Налог на имущество</t>
        </is>
      </c>
      <c r="B10" s="40">
        <f>SUM(D10:DM10)</f>
        <v/>
      </c>
      <c r="C10" s="37" t="inlineStr">
        <is>
          <t>млн ₽</t>
        </is>
      </c>
      <c r="D10" s="47">
        <f>'CAPEX'!$B$8*'Вводные'!$B$52/12*'СРОКИ'!D15</f>
        <v/>
      </c>
      <c r="E10" s="47">
        <f>'CAPEX'!$B$8*'Вводные'!$B$52/12*'СРОКИ'!E15</f>
        <v/>
      </c>
      <c r="F10" s="47">
        <f>'CAPEX'!$B$8*'Вводные'!$B$52/12*'СРОКИ'!F15</f>
        <v/>
      </c>
      <c r="G10" s="47">
        <f>'CAPEX'!$B$8*'Вводные'!$B$52/12*'СРОКИ'!G15</f>
        <v/>
      </c>
      <c r="H10" s="47">
        <f>'CAPEX'!$B$8*'Вводные'!$B$52/12*'СРОКИ'!H15</f>
        <v/>
      </c>
      <c r="I10" s="47">
        <f>'CAPEX'!$B$8*'Вводные'!$B$52/12*'СРОКИ'!I15</f>
        <v/>
      </c>
      <c r="J10" s="47">
        <f>'CAPEX'!$B$8*'Вводные'!$B$52/12*'СРОКИ'!J15</f>
        <v/>
      </c>
      <c r="K10" s="47">
        <f>'CAPEX'!$B$8*'Вводные'!$B$52/12*'СРОКИ'!K15</f>
        <v/>
      </c>
      <c r="L10" s="47">
        <f>'CAPEX'!$B$8*'Вводные'!$B$52/12*'СРОКИ'!L15</f>
        <v/>
      </c>
      <c r="M10" s="47">
        <f>'CAPEX'!$B$8*'Вводные'!$B$52/12*'СРОКИ'!M15</f>
        <v/>
      </c>
      <c r="N10" s="47">
        <f>'CAPEX'!$B$8*'Вводные'!$B$52/12*'СРОКИ'!N15</f>
        <v/>
      </c>
      <c r="O10" s="47">
        <f>'CAPEX'!$B$8*'Вводные'!$B$52/12*'СРОКИ'!O15</f>
        <v/>
      </c>
      <c r="P10" s="47">
        <f>'CAPEX'!$B$8*'Вводные'!$B$52/12*'СРОКИ'!P15</f>
        <v/>
      </c>
      <c r="Q10" s="47">
        <f>'CAPEX'!$B$8*'Вводные'!$B$52/12*'СРОКИ'!Q15</f>
        <v/>
      </c>
      <c r="R10" s="47">
        <f>'CAPEX'!$B$8*'Вводные'!$B$52/12*'СРОКИ'!R15</f>
        <v/>
      </c>
      <c r="S10" s="47">
        <f>'CAPEX'!$B$8*'Вводные'!$B$52/12*'СРОКИ'!S15</f>
        <v/>
      </c>
      <c r="T10" s="47">
        <f>'CAPEX'!$B$8*'Вводные'!$B$52/12*'СРОКИ'!T15</f>
        <v/>
      </c>
      <c r="U10" s="47">
        <f>'CAPEX'!$B$8*'Вводные'!$B$52/12*'СРОКИ'!U15</f>
        <v/>
      </c>
      <c r="V10" s="47">
        <f>'CAPEX'!$B$8*'Вводные'!$B$52/12*'СРОКИ'!V15</f>
        <v/>
      </c>
      <c r="W10" s="47">
        <f>'CAPEX'!$B$8*'Вводные'!$B$52/12*'СРОКИ'!W15</f>
        <v/>
      </c>
      <c r="X10" s="47">
        <f>'CAPEX'!$B$8*'Вводные'!$B$52/12*'СРОКИ'!X15</f>
        <v/>
      </c>
      <c r="Y10" s="47">
        <f>'CAPEX'!$B$8*'Вводные'!$B$52/12*'СРОКИ'!Y15</f>
        <v/>
      </c>
      <c r="Z10" s="47">
        <f>'CAPEX'!$B$8*'Вводные'!$B$52/12*'СРОКИ'!Z15</f>
        <v/>
      </c>
      <c r="AA10" s="47">
        <f>'CAPEX'!$B$8*'Вводные'!$B$52/12*'СРОКИ'!AA15</f>
        <v/>
      </c>
      <c r="AB10" s="47">
        <f>'CAPEX'!$B$8*'Вводные'!$B$52/12*'СРОКИ'!AB15</f>
        <v/>
      </c>
      <c r="AC10" s="47">
        <f>'CAPEX'!$B$8*'Вводные'!$B$52/12*'СРОКИ'!AC15</f>
        <v/>
      </c>
      <c r="AD10" s="47">
        <f>'CAPEX'!$B$8*'Вводные'!$B$52/12*'СРОКИ'!AD15</f>
        <v/>
      </c>
      <c r="AE10" s="47">
        <f>'CAPEX'!$B$8*'Вводные'!$B$52/12*'СРОКИ'!AE15</f>
        <v/>
      </c>
      <c r="AF10" s="47">
        <f>'CAPEX'!$B$8*'Вводные'!$B$52/12*'СРОКИ'!AF15</f>
        <v/>
      </c>
      <c r="AG10" s="47">
        <f>'CAPEX'!$B$8*'Вводные'!$B$52/12*'СРОКИ'!AG15</f>
        <v/>
      </c>
      <c r="AH10" s="47">
        <f>'CAPEX'!$B$8*'Вводные'!$B$52/12*'СРОКИ'!AH15</f>
        <v/>
      </c>
      <c r="AI10" s="47">
        <f>'CAPEX'!$B$8*'Вводные'!$B$52/12*'СРОКИ'!AI15</f>
        <v/>
      </c>
      <c r="AJ10" s="47">
        <f>'CAPEX'!$B$8*'Вводные'!$B$52/12*'СРОКИ'!AJ15</f>
        <v/>
      </c>
      <c r="AK10" s="47">
        <f>'CAPEX'!$B$8*'Вводные'!$B$52/12*'СРОКИ'!AK15</f>
        <v/>
      </c>
      <c r="AL10" s="47">
        <f>'CAPEX'!$B$8*'Вводные'!$B$52/12*'СРОКИ'!AL15</f>
        <v/>
      </c>
      <c r="AM10" s="47">
        <f>'CAPEX'!$B$8*'Вводные'!$B$52/12*'СРОКИ'!AM15</f>
        <v/>
      </c>
      <c r="AN10" s="47">
        <f>'CAPEX'!$B$8*'Вводные'!$B$52/12*'СРОКИ'!AN15</f>
        <v/>
      </c>
      <c r="AO10" s="47">
        <f>'CAPEX'!$B$8*'Вводные'!$B$52/12*'СРОКИ'!AO15</f>
        <v/>
      </c>
      <c r="AP10" s="47">
        <f>'CAPEX'!$B$8*'Вводные'!$B$52/12*'СРОКИ'!AP15</f>
        <v/>
      </c>
      <c r="AQ10" s="47">
        <f>'CAPEX'!$B$8*'Вводные'!$B$52/12*'СРОКИ'!AQ15</f>
        <v/>
      </c>
      <c r="AR10" s="47">
        <f>'CAPEX'!$B$8*'Вводные'!$B$52/12*'СРОКИ'!AR15</f>
        <v/>
      </c>
      <c r="AS10" s="47">
        <f>'CAPEX'!$B$8*'Вводные'!$B$52/12*'СРОКИ'!AS15</f>
        <v/>
      </c>
      <c r="AT10" s="47">
        <f>'CAPEX'!$B$8*'Вводные'!$B$52/12*'СРОКИ'!AT15</f>
        <v/>
      </c>
      <c r="AU10" s="47">
        <f>'CAPEX'!$B$8*'Вводные'!$B$52/12*'СРОКИ'!AU15</f>
        <v/>
      </c>
      <c r="AV10" s="47">
        <f>'CAPEX'!$B$8*'Вводные'!$B$52/12*'СРОКИ'!AV15</f>
        <v/>
      </c>
      <c r="AW10" s="47">
        <f>'CAPEX'!$B$8*'Вводные'!$B$52/12*'СРОКИ'!AW15</f>
        <v/>
      </c>
      <c r="AX10" s="47">
        <f>'CAPEX'!$B$8*'Вводные'!$B$52/12*'СРОКИ'!AX15</f>
        <v/>
      </c>
      <c r="AY10" s="47">
        <f>'CAPEX'!$B$8*'Вводные'!$B$52/12*'СРОКИ'!AY15</f>
        <v/>
      </c>
      <c r="AZ10" s="47">
        <f>'CAPEX'!$B$8*'Вводные'!$B$52/12*'СРОКИ'!AZ15</f>
        <v/>
      </c>
      <c r="BA10" s="47">
        <f>'CAPEX'!$B$8*'Вводные'!$B$52/12*'СРОКИ'!BA15</f>
        <v/>
      </c>
      <c r="BB10" s="47">
        <f>'CAPEX'!$B$8*'Вводные'!$B$52/12*'СРОКИ'!BB15</f>
        <v/>
      </c>
      <c r="BC10" s="47">
        <f>'CAPEX'!$B$8*'Вводные'!$B$52/12*'СРОКИ'!BC15</f>
        <v/>
      </c>
      <c r="BD10" s="47">
        <f>'CAPEX'!$B$8*'Вводные'!$B$52/12*'СРОКИ'!BD15</f>
        <v/>
      </c>
      <c r="BE10" s="47">
        <f>'CAPEX'!$B$8*'Вводные'!$B$52/12*'СРОКИ'!BE15</f>
        <v/>
      </c>
      <c r="BF10" s="47">
        <f>'CAPEX'!$B$8*'Вводные'!$B$52/12*'СРОКИ'!BF15</f>
        <v/>
      </c>
      <c r="BG10" s="47">
        <f>'CAPEX'!$B$8*'Вводные'!$B$52/12*'СРОКИ'!BG15</f>
        <v/>
      </c>
      <c r="BH10" s="47">
        <f>'CAPEX'!$B$8*'Вводные'!$B$52/12*'СРОКИ'!BH15</f>
        <v/>
      </c>
      <c r="BI10" s="47">
        <f>'CAPEX'!$B$8*'Вводные'!$B$52/12*'СРОКИ'!BI15</f>
        <v/>
      </c>
      <c r="BJ10" s="47">
        <f>'CAPEX'!$B$8*'Вводные'!$B$52/12*'СРОКИ'!BJ15</f>
        <v/>
      </c>
      <c r="BK10" s="47">
        <f>'CAPEX'!$B$8*'Вводные'!$B$52/12*'СРОКИ'!BK15</f>
        <v/>
      </c>
      <c r="BL10" s="47">
        <f>'CAPEX'!$B$8*'Вводные'!$B$52/12*'СРОКИ'!BL15</f>
        <v/>
      </c>
      <c r="BM10" s="47">
        <f>'CAPEX'!$B$8*'Вводные'!$B$52/12*'СРОКИ'!BM15</f>
        <v/>
      </c>
      <c r="BN10" s="47">
        <f>'CAPEX'!$B$8*'Вводные'!$B$52/12*'СРОКИ'!BN15</f>
        <v/>
      </c>
      <c r="BO10" s="47">
        <f>'CAPEX'!$B$8*'Вводные'!$B$52/12*'СРОКИ'!BO15</f>
        <v/>
      </c>
      <c r="BP10" s="47">
        <f>'CAPEX'!$B$8*'Вводные'!$B$52/12*'СРОКИ'!BP15</f>
        <v/>
      </c>
      <c r="BQ10" s="47">
        <f>'CAPEX'!$B$8*'Вводные'!$B$52/12*'СРОКИ'!BQ15</f>
        <v/>
      </c>
      <c r="BR10" s="47">
        <f>'CAPEX'!$B$8*'Вводные'!$B$52/12*'СРОКИ'!BR15</f>
        <v/>
      </c>
      <c r="BS10" s="47">
        <f>'CAPEX'!$B$8*'Вводные'!$B$52/12*'СРОКИ'!BS15</f>
        <v/>
      </c>
      <c r="BT10" s="47">
        <f>'CAPEX'!$B$8*'Вводные'!$B$52/12*'СРОКИ'!BT15</f>
        <v/>
      </c>
      <c r="BU10" s="47">
        <f>'CAPEX'!$B$8*'Вводные'!$B$52/12*'СРОКИ'!BU15</f>
        <v/>
      </c>
      <c r="BV10" s="47">
        <f>'CAPEX'!$B$8*'Вводные'!$B$52/12*'СРОКИ'!BV15</f>
        <v/>
      </c>
      <c r="BW10" s="47">
        <f>'CAPEX'!$B$8*'Вводные'!$B$52/12*'СРОКИ'!BW15</f>
        <v/>
      </c>
      <c r="BX10" s="47">
        <f>'CAPEX'!$B$8*'Вводные'!$B$52/12*'СРОКИ'!BX15</f>
        <v/>
      </c>
      <c r="BY10" s="47">
        <f>'CAPEX'!$B$8*'Вводные'!$B$52/12*'СРОКИ'!BY15</f>
        <v/>
      </c>
      <c r="BZ10" s="47">
        <f>'CAPEX'!$B$8*'Вводные'!$B$52/12*'СРОКИ'!BZ15</f>
        <v/>
      </c>
      <c r="CA10" s="47">
        <f>'CAPEX'!$B$8*'Вводные'!$B$52/12*'СРОКИ'!CA15</f>
        <v/>
      </c>
      <c r="CB10" s="47">
        <f>'CAPEX'!$B$8*'Вводные'!$B$52/12*'СРОКИ'!CB15</f>
        <v/>
      </c>
      <c r="CC10" s="47">
        <f>'CAPEX'!$B$8*'Вводные'!$B$52/12*'СРОКИ'!CC15</f>
        <v/>
      </c>
      <c r="CD10" s="47">
        <f>'CAPEX'!$B$8*'Вводные'!$B$52/12*'СРОКИ'!CD15</f>
        <v/>
      </c>
      <c r="CE10" s="47">
        <f>'CAPEX'!$B$8*'Вводные'!$B$52/12*'СРОКИ'!CE15</f>
        <v/>
      </c>
      <c r="CF10" s="47">
        <f>'CAPEX'!$B$8*'Вводные'!$B$52/12*'СРОКИ'!CF15</f>
        <v/>
      </c>
      <c r="CG10" s="47">
        <f>'CAPEX'!$B$8*'Вводные'!$B$52/12*'СРОКИ'!CG15</f>
        <v/>
      </c>
      <c r="CH10" s="47">
        <f>'CAPEX'!$B$8*'Вводные'!$B$52/12*'СРОКИ'!CH15</f>
        <v/>
      </c>
      <c r="CI10" s="47">
        <f>'CAPEX'!$B$8*'Вводные'!$B$52/12*'СРОКИ'!CI15</f>
        <v/>
      </c>
      <c r="CJ10" s="47">
        <f>'CAPEX'!$B$8*'Вводные'!$B$52/12*'СРОКИ'!CJ15</f>
        <v/>
      </c>
      <c r="CK10" s="47">
        <f>'CAPEX'!$B$8*'Вводные'!$B$52/12*'СРОКИ'!CK15</f>
        <v/>
      </c>
      <c r="CL10" s="47">
        <f>'CAPEX'!$B$8*'Вводные'!$B$52/12*'СРОКИ'!CL15</f>
        <v/>
      </c>
      <c r="CM10" s="47">
        <f>'CAPEX'!$B$8*'Вводные'!$B$52/12*'СРОКИ'!CM15</f>
        <v/>
      </c>
      <c r="CN10" s="47">
        <f>'CAPEX'!$B$8*'Вводные'!$B$52/12*'СРОКИ'!CN15</f>
        <v/>
      </c>
      <c r="CO10" s="47">
        <f>'CAPEX'!$B$8*'Вводные'!$B$52/12*'СРОКИ'!CO15</f>
        <v/>
      </c>
      <c r="CP10" s="47">
        <f>'CAPEX'!$B$8*'Вводные'!$B$52/12*'СРОКИ'!CP15</f>
        <v/>
      </c>
      <c r="CQ10" s="47">
        <f>'CAPEX'!$B$8*'Вводные'!$B$52/12*'СРОКИ'!CQ15</f>
        <v/>
      </c>
      <c r="CR10" s="47">
        <f>'CAPEX'!$B$8*'Вводные'!$B$52/12*'СРОКИ'!CR15</f>
        <v/>
      </c>
      <c r="CS10" s="47">
        <f>'CAPEX'!$B$8*'Вводные'!$B$52/12*'СРОКИ'!CS15</f>
        <v/>
      </c>
      <c r="CT10" s="47">
        <f>'CAPEX'!$B$8*'Вводные'!$B$52/12*'СРОКИ'!CT15</f>
        <v/>
      </c>
      <c r="CU10" s="47">
        <f>'CAPEX'!$B$8*'Вводные'!$B$52/12*'СРОКИ'!CU15</f>
        <v/>
      </c>
      <c r="CV10" s="47">
        <f>'CAPEX'!$B$8*'Вводные'!$B$52/12*'СРОКИ'!CV15</f>
        <v/>
      </c>
      <c r="CW10" s="47">
        <f>'CAPEX'!$B$8*'Вводные'!$B$52/12*'СРОКИ'!CW15</f>
        <v/>
      </c>
      <c r="CX10" s="47">
        <f>'CAPEX'!$B$8*'Вводные'!$B$52/12*'СРОКИ'!CX15</f>
        <v/>
      </c>
      <c r="CY10" s="47">
        <f>'CAPEX'!$B$8*'Вводные'!$B$52/12*'СРОКИ'!CY15</f>
        <v/>
      </c>
      <c r="CZ10" s="47">
        <f>'CAPEX'!$B$8*'Вводные'!$B$52/12*'СРОКИ'!CZ15</f>
        <v/>
      </c>
      <c r="DA10" s="47">
        <f>'CAPEX'!$B$8*'Вводные'!$B$52/12*'СРОКИ'!DA15</f>
        <v/>
      </c>
      <c r="DB10" s="47">
        <f>'CAPEX'!$B$8*'Вводные'!$B$52/12*'СРОКИ'!DB15</f>
        <v/>
      </c>
      <c r="DC10" s="47">
        <f>'CAPEX'!$B$8*'Вводные'!$B$52/12*'СРОКИ'!DC15</f>
        <v/>
      </c>
      <c r="DD10" s="47">
        <f>'CAPEX'!$B$8*'Вводные'!$B$52/12*'СРОКИ'!DD15</f>
        <v/>
      </c>
      <c r="DE10" s="47">
        <f>'CAPEX'!$B$8*'Вводные'!$B$52/12*'СРОКИ'!DE15</f>
        <v/>
      </c>
      <c r="DF10" s="47">
        <f>'CAPEX'!$B$8*'Вводные'!$B$52/12*'СРОКИ'!DF15</f>
        <v/>
      </c>
      <c r="DG10" s="47">
        <f>'CAPEX'!$B$8*'Вводные'!$B$52/12*'СРОКИ'!DG15</f>
        <v/>
      </c>
      <c r="DH10" s="47">
        <f>'CAPEX'!$B$8*'Вводные'!$B$52/12*'СРОКИ'!DH15</f>
        <v/>
      </c>
      <c r="DI10" s="47">
        <f>'CAPEX'!$B$8*'Вводные'!$B$52/12*'СРОКИ'!DI15</f>
        <v/>
      </c>
      <c r="DJ10" s="47">
        <f>'CAPEX'!$B$8*'Вводные'!$B$52/12*'СРОКИ'!DJ15</f>
        <v/>
      </c>
      <c r="DK10" s="47">
        <f>'CAPEX'!$B$8*'Вводные'!$B$52/12*'СРОКИ'!DK15</f>
        <v/>
      </c>
      <c r="DL10" s="47">
        <f>'CAPEX'!$B$8*'Вводные'!$B$52/12*'СРОКИ'!DL15</f>
        <v/>
      </c>
      <c r="DM10" s="47">
        <f>'CAPEX'!$B$8*'Вводные'!$B$52/12*'СРОКИ'!DM15</f>
        <v/>
      </c>
    </row>
    <row r="11">
      <c r="A11" s="42" t="inlineStr">
        <is>
          <t>NOI</t>
        </is>
      </c>
      <c r="B11" s="40">
        <f>SUM(D11:DM11)</f>
        <v/>
      </c>
      <c r="C11" s="37" t="inlineStr">
        <is>
          <t>млн ₽</t>
        </is>
      </c>
      <c r="D11" s="40">
        <f>'Аренда'!D8-'Аренда'!D9-'Аренда'!D10</f>
        <v/>
      </c>
      <c r="E11" s="40">
        <f>'Аренда'!E8-'Аренда'!E9-'Аренда'!E10</f>
        <v/>
      </c>
      <c r="F11" s="40">
        <f>'Аренда'!F8-'Аренда'!F9-'Аренда'!F10</f>
        <v/>
      </c>
      <c r="G11" s="40">
        <f>'Аренда'!G8-'Аренда'!G9-'Аренда'!G10</f>
        <v/>
      </c>
      <c r="H11" s="40">
        <f>'Аренда'!H8-'Аренда'!H9-'Аренда'!H10</f>
        <v/>
      </c>
      <c r="I11" s="40">
        <f>'Аренда'!I8-'Аренда'!I9-'Аренда'!I10</f>
        <v/>
      </c>
      <c r="J11" s="40">
        <f>'Аренда'!J8-'Аренда'!J9-'Аренда'!J10</f>
        <v/>
      </c>
      <c r="K11" s="40">
        <f>'Аренда'!K8-'Аренда'!K9-'Аренда'!K10</f>
        <v/>
      </c>
      <c r="L11" s="40">
        <f>'Аренда'!L8-'Аренда'!L9-'Аренда'!L10</f>
        <v/>
      </c>
      <c r="M11" s="40">
        <f>'Аренда'!M8-'Аренда'!M9-'Аренда'!M10</f>
        <v/>
      </c>
      <c r="N11" s="40">
        <f>'Аренда'!N8-'Аренда'!N9-'Аренда'!N10</f>
        <v/>
      </c>
      <c r="O11" s="40">
        <f>'Аренда'!O8-'Аренда'!O9-'Аренда'!O10</f>
        <v/>
      </c>
      <c r="P11" s="40">
        <f>'Аренда'!P8-'Аренда'!P9-'Аренда'!P10</f>
        <v/>
      </c>
      <c r="Q11" s="40">
        <f>'Аренда'!Q8-'Аренда'!Q9-'Аренда'!Q10</f>
        <v/>
      </c>
      <c r="R11" s="40">
        <f>'Аренда'!R8-'Аренда'!R9-'Аренда'!R10</f>
        <v/>
      </c>
      <c r="S11" s="40">
        <f>'Аренда'!S8-'Аренда'!S9-'Аренда'!S10</f>
        <v/>
      </c>
      <c r="T11" s="40">
        <f>'Аренда'!T8-'Аренда'!T9-'Аренда'!T10</f>
        <v/>
      </c>
      <c r="U11" s="40">
        <f>'Аренда'!U8-'Аренда'!U9-'Аренда'!U10</f>
        <v/>
      </c>
      <c r="V11" s="40">
        <f>'Аренда'!V8-'Аренда'!V9-'Аренда'!V10</f>
        <v/>
      </c>
      <c r="W11" s="40">
        <f>'Аренда'!W8-'Аренда'!W9-'Аренда'!W10</f>
        <v/>
      </c>
      <c r="X11" s="40">
        <f>'Аренда'!X8-'Аренда'!X9-'Аренда'!X10</f>
        <v/>
      </c>
      <c r="Y11" s="40">
        <f>'Аренда'!Y8-'Аренда'!Y9-'Аренда'!Y10</f>
        <v/>
      </c>
      <c r="Z11" s="40">
        <f>'Аренда'!Z8-'Аренда'!Z9-'Аренда'!Z10</f>
        <v/>
      </c>
      <c r="AA11" s="40">
        <f>'Аренда'!AA8-'Аренда'!AA9-'Аренда'!AA10</f>
        <v/>
      </c>
      <c r="AB11" s="40">
        <f>'Аренда'!AB8-'Аренда'!AB9-'Аренда'!AB10</f>
        <v/>
      </c>
      <c r="AC11" s="40">
        <f>'Аренда'!AC8-'Аренда'!AC9-'Аренда'!AC10</f>
        <v/>
      </c>
      <c r="AD11" s="40">
        <f>'Аренда'!AD8-'Аренда'!AD9-'Аренда'!AD10</f>
        <v/>
      </c>
      <c r="AE11" s="40">
        <f>'Аренда'!AE8-'Аренда'!AE9-'Аренда'!AE10</f>
        <v/>
      </c>
      <c r="AF11" s="40">
        <f>'Аренда'!AF8-'Аренда'!AF9-'Аренда'!AF10</f>
        <v/>
      </c>
      <c r="AG11" s="40">
        <f>'Аренда'!AG8-'Аренда'!AG9-'Аренда'!AG10</f>
        <v/>
      </c>
      <c r="AH11" s="40">
        <f>'Аренда'!AH8-'Аренда'!AH9-'Аренда'!AH10</f>
        <v/>
      </c>
      <c r="AI11" s="40">
        <f>'Аренда'!AI8-'Аренда'!AI9-'Аренда'!AI10</f>
        <v/>
      </c>
      <c r="AJ11" s="40">
        <f>'Аренда'!AJ8-'Аренда'!AJ9-'Аренда'!AJ10</f>
        <v/>
      </c>
      <c r="AK11" s="40">
        <f>'Аренда'!AK8-'Аренда'!AK9-'Аренда'!AK10</f>
        <v/>
      </c>
      <c r="AL11" s="40">
        <f>'Аренда'!AL8-'Аренда'!AL9-'Аренда'!AL10</f>
        <v/>
      </c>
      <c r="AM11" s="40">
        <f>'Аренда'!AM8-'Аренда'!AM9-'Аренда'!AM10</f>
        <v/>
      </c>
      <c r="AN11" s="40">
        <f>'Аренда'!AN8-'Аренда'!AN9-'Аренда'!AN10</f>
        <v/>
      </c>
      <c r="AO11" s="40">
        <f>'Аренда'!AO8-'Аренда'!AO9-'Аренда'!AO10</f>
        <v/>
      </c>
      <c r="AP11" s="40">
        <f>'Аренда'!AP8-'Аренда'!AP9-'Аренда'!AP10</f>
        <v/>
      </c>
      <c r="AQ11" s="40">
        <f>'Аренда'!AQ8-'Аренда'!AQ9-'Аренда'!AQ10</f>
        <v/>
      </c>
      <c r="AR11" s="40">
        <f>'Аренда'!AR8-'Аренда'!AR9-'Аренда'!AR10</f>
        <v/>
      </c>
      <c r="AS11" s="40">
        <f>'Аренда'!AS8-'Аренда'!AS9-'Аренда'!AS10</f>
        <v/>
      </c>
      <c r="AT11" s="40">
        <f>'Аренда'!AT8-'Аренда'!AT9-'Аренда'!AT10</f>
        <v/>
      </c>
      <c r="AU11" s="40">
        <f>'Аренда'!AU8-'Аренда'!AU9-'Аренда'!AU10</f>
        <v/>
      </c>
      <c r="AV11" s="40">
        <f>'Аренда'!AV8-'Аренда'!AV9-'Аренда'!AV10</f>
        <v/>
      </c>
      <c r="AW11" s="40">
        <f>'Аренда'!AW8-'Аренда'!AW9-'Аренда'!AW10</f>
        <v/>
      </c>
      <c r="AX11" s="40">
        <f>'Аренда'!AX8-'Аренда'!AX9-'Аренда'!AX10</f>
        <v/>
      </c>
      <c r="AY11" s="40">
        <f>'Аренда'!AY8-'Аренда'!AY9-'Аренда'!AY10</f>
        <v/>
      </c>
      <c r="AZ11" s="40">
        <f>'Аренда'!AZ8-'Аренда'!AZ9-'Аренда'!AZ10</f>
        <v/>
      </c>
      <c r="BA11" s="40">
        <f>'Аренда'!BA8-'Аренда'!BA9-'Аренда'!BA10</f>
        <v/>
      </c>
      <c r="BB11" s="40">
        <f>'Аренда'!BB8-'Аренда'!BB9-'Аренда'!BB10</f>
        <v/>
      </c>
      <c r="BC11" s="40">
        <f>'Аренда'!BC8-'Аренда'!BC9-'Аренда'!BC10</f>
        <v/>
      </c>
      <c r="BD11" s="40">
        <f>'Аренда'!BD8-'Аренда'!BD9-'Аренда'!BD10</f>
        <v/>
      </c>
      <c r="BE11" s="40">
        <f>'Аренда'!BE8-'Аренда'!BE9-'Аренда'!BE10</f>
        <v/>
      </c>
      <c r="BF11" s="40">
        <f>'Аренда'!BF8-'Аренда'!BF9-'Аренда'!BF10</f>
        <v/>
      </c>
      <c r="BG11" s="40">
        <f>'Аренда'!BG8-'Аренда'!BG9-'Аренда'!BG10</f>
        <v/>
      </c>
      <c r="BH11" s="40">
        <f>'Аренда'!BH8-'Аренда'!BH9-'Аренда'!BH10</f>
        <v/>
      </c>
      <c r="BI11" s="40">
        <f>'Аренда'!BI8-'Аренда'!BI9-'Аренда'!BI10</f>
        <v/>
      </c>
      <c r="BJ11" s="40">
        <f>'Аренда'!BJ8-'Аренда'!BJ9-'Аренда'!BJ10</f>
        <v/>
      </c>
      <c r="BK11" s="40">
        <f>'Аренда'!BK8-'Аренда'!BK9-'Аренда'!BK10</f>
        <v/>
      </c>
      <c r="BL11" s="40">
        <f>'Аренда'!BL8-'Аренда'!BL9-'Аренда'!BL10</f>
        <v/>
      </c>
      <c r="BM11" s="40">
        <f>'Аренда'!BM8-'Аренда'!BM9-'Аренда'!BM10</f>
        <v/>
      </c>
      <c r="BN11" s="40">
        <f>'Аренда'!BN8-'Аренда'!BN9-'Аренда'!BN10</f>
        <v/>
      </c>
      <c r="BO11" s="40">
        <f>'Аренда'!BO8-'Аренда'!BO9-'Аренда'!BO10</f>
        <v/>
      </c>
      <c r="BP11" s="40">
        <f>'Аренда'!BP8-'Аренда'!BP9-'Аренда'!BP10</f>
        <v/>
      </c>
      <c r="BQ11" s="40">
        <f>'Аренда'!BQ8-'Аренда'!BQ9-'Аренда'!BQ10</f>
        <v/>
      </c>
      <c r="BR11" s="40">
        <f>'Аренда'!BR8-'Аренда'!BR9-'Аренда'!BR10</f>
        <v/>
      </c>
      <c r="BS11" s="40">
        <f>'Аренда'!BS8-'Аренда'!BS9-'Аренда'!BS10</f>
        <v/>
      </c>
      <c r="BT11" s="40">
        <f>'Аренда'!BT8-'Аренда'!BT9-'Аренда'!BT10</f>
        <v/>
      </c>
      <c r="BU11" s="40">
        <f>'Аренда'!BU8-'Аренда'!BU9-'Аренда'!BU10</f>
        <v/>
      </c>
      <c r="BV11" s="40">
        <f>'Аренда'!BV8-'Аренда'!BV9-'Аренда'!BV10</f>
        <v/>
      </c>
      <c r="BW11" s="40">
        <f>'Аренда'!BW8-'Аренда'!BW9-'Аренда'!BW10</f>
        <v/>
      </c>
      <c r="BX11" s="40">
        <f>'Аренда'!BX8-'Аренда'!BX9-'Аренда'!BX10</f>
        <v/>
      </c>
      <c r="BY11" s="40">
        <f>'Аренда'!BY8-'Аренда'!BY9-'Аренда'!BY10</f>
        <v/>
      </c>
      <c r="BZ11" s="40">
        <f>'Аренда'!BZ8-'Аренда'!BZ9-'Аренда'!BZ10</f>
        <v/>
      </c>
      <c r="CA11" s="40">
        <f>'Аренда'!CA8-'Аренда'!CA9-'Аренда'!CA10</f>
        <v/>
      </c>
      <c r="CB11" s="40">
        <f>'Аренда'!CB8-'Аренда'!CB9-'Аренда'!CB10</f>
        <v/>
      </c>
      <c r="CC11" s="40">
        <f>'Аренда'!CC8-'Аренда'!CC9-'Аренда'!CC10</f>
        <v/>
      </c>
      <c r="CD11" s="40">
        <f>'Аренда'!CD8-'Аренда'!CD9-'Аренда'!CD10</f>
        <v/>
      </c>
      <c r="CE11" s="40">
        <f>'Аренда'!CE8-'Аренда'!CE9-'Аренда'!CE10</f>
        <v/>
      </c>
      <c r="CF11" s="40">
        <f>'Аренда'!CF8-'Аренда'!CF9-'Аренда'!CF10</f>
        <v/>
      </c>
      <c r="CG11" s="40">
        <f>'Аренда'!CG8-'Аренда'!CG9-'Аренда'!CG10</f>
        <v/>
      </c>
      <c r="CH11" s="40">
        <f>'Аренда'!CH8-'Аренда'!CH9-'Аренда'!CH10</f>
        <v/>
      </c>
      <c r="CI11" s="40">
        <f>'Аренда'!CI8-'Аренда'!CI9-'Аренда'!CI10</f>
        <v/>
      </c>
      <c r="CJ11" s="40">
        <f>'Аренда'!CJ8-'Аренда'!CJ9-'Аренда'!CJ10</f>
        <v/>
      </c>
      <c r="CK11" s="40">
        <f>'Аренда'!CK8-'Аренда'!CK9-'Аренда'!CK10</f>
        <v/>
      </c>
      <c r="CL11" s="40">
        <f>'Аренда'!CL8-'Аренда'!CL9-'Аренда'!CL10</f>
        <v/>
      </c>
      <c r="CM11" s="40">
        <f>'Аренда'!CM8-'Аренда'!CM9-'Аренда'!CM10</f>
        <v/>
      </c>
      <c r="CN11" s="40">
        <f>'Аренда'!CN8-'Аренда'!CN9-'Аренда'!CN10</f>
        <v/>
      </c>
      <c r="CO11" s="40">
        <f>'Аренда'!CO8-'Аренда'!CO9-'Аренда'!CO10</f>
        <v/>
      </c>
      <c r="CP11" s="40">
        <f>'Аренда'!CP8-'Аренда'!CP9-'Аренда'!CP10</f>
        <v/>
      </c>
      <c r="CQ11" s="40">
        <f>'Аренда'!CQ8-'Аренда'!CQ9-'Аренда'!CQ10</f>
        <v/>
      </c>
      <c r="CR11" s="40">
        <f>'Аренда'!CR8-'Аренда'!CR9-'Аренда'!CR10</f>
        <v/>
      </c>
      <c r="CS11" s="40">
        <f>'Аренда'!CS8-'Аренда'!CS9-'Аренда'!CS10</f>
        <v/>
      </c>
      <c r="CT11" s="40">
        <f>'Аренда'!CT8-'Аренда'!CT9-'Аренда'!CT10</f>
        <v/>
      </c>
      <c r="CU11" s="40">
        <f>'Аренда'!CU8-'Аренда'!CU9-'Аренда'!CU10</f>
        <v/>
      </c>
      <c r="CV11" s="40">
        <f>'Аренда'!CV8-'Аренда'!CV9-'Аренда'!CV10</f>
        <v/>
      </c>
      <c r="CW11" s="40">
        <f>'Аренда'!CW8-'Аренда'!CW9-'Аренда'!CW10</f>
        <v/>
      </c>
      <c r="CX11" s="40">
        <f>'Аренда'!CX8-'Аренда'!CX9-'Аренда'!CX10</f>
        <v/>
      </c>
      <c r="CY11" s="40">
        <f>'Аренда'!CY8-'Аренда'!CY9-'Аренда'!CY10</f>
        <v/>
      </c>
      <c r="CZ11" s="40">
        <f>'Аренда'!CZ8-'Аренда'!CZ9-'Аренда'!CZ10</f>
        <v/>
      </c>
      <c r="DA11" s="40">
        <f>'Аренда'!DA8-'Аренда'!DA9-'Аренда'!DA10</f>
        <v/>
      </c>
      <c r="DB11" s="40">
        <f>'Аренда'!DB8-'Аренда'!DB9-'Аренда'!DB10</f>
        <v/>
      </c>
      <c r="DC11" s="40">
        <f>'Аренда'!DC8-'Аренда'!DC9-'Аренда'!DC10</f>
        <v/>
      </c>
      <c r="DD11" s="40">
        <f>'Аренда'!DD8-'Аренда'!DD9-'Аренда'!DD10</f>
        <v/>
      </c>
      <c r="DE11" s="40">
        <f>'Аренда'!DE8-'Аренда'!DE9-'Аренда'!DE10</f>
        <v/>
      </c>
      <c r="DF11" s="40">
        <f>'Аренда'!DF8-'Аренда'!DF9-'Аренда'!DF10</f>
        <v/>
      </c>
      <c r="DG11" s="40">
        <f>'Аренда'!DG8-'Аренда'!DG9-'Аренда'!DG10</f>
        <v/>
      </c>
      <c r="DH11" s="40">
        <f>'Аренда'!DH8-'Аренда'!DH9-'Аренда'!DH10</f>
        <v/>
      </c>
      <c r="DI11" s="40">
        <f>'Аренда'!DI8-'Аренда'!DI9-'Аренда'!DI10</f>
        <v/>
      </c>
      <c r="DJ11" s="40">
        <f>'Аренда'!DJ8-'Аренда'!DJ9-'Аренда'!DJ10</f>
        <v/>
      </c>
      <c r="DK11" s="40">
        <f>'Аренда'!DK8-'Аренда'!DK9-'Аренда'!DK10</f>
        <v/>
      </c>
      <c r="DL11" s="40">
        <f>'Аренда'!DL8-'Аренда'!DL9-'Аренда'!DL10</f>
        <v/>
      </c>
      <c r="DM11" s="40">
        <f>'Аренда'!DM8-'Аренда'!DM9-'Аренда'!DM10</f>
        <v/>
      </c>
    </row>
    <row r="12">
      <c r="A12" s="36" t="inlineStr">
        <is>
          <t>NOI покупателя: год после продажи здания (до налога на имущество)</t>
        </is>
      </c>
      <c r="B12" s="40">
        <f>SUM(D12:DM12)</f>
        <v/>
      </c>
      <c r="C12" s="37" t="inlineStr">
        <is>
          <t>млн ₽</t>
        </is>
      </c>
      <c r="D12" s="47">
        <f>'Аренда'!D7*(1-'Вводные'!$F$34)*'СРОКИ'!D16</f>
        <v/>
      </c>
      <c r="E12" s="47">
        <f>'Аренда'!E7*(1-'Вводные'!$F$34)*'СРОКИ'!E16</f>
        <v/>
      </c>
      <c r="F12" s="47">
        <f>'Аренда'!F7*(1-'Вводные'!$F$34)*'СРОКИ'!F16</f>
        <v/>
      </c>
      <c r="G12" s="47">
        <f>'Аренда'!G7*(1-'Вводные'!$F$34)*'СРОКИ'!G16</f>
        <v/>
      </c>
      <c r="H12" s="47">
        <f>'Аренда'!H7*(1-'Вводные'!$F$34)*'СРОКИ'!H16</f>
        <v/>
      </c>
      <c r="I12" s="47">
        <f>'Аренда'!I7*(1-'Вводные'!$F$34)*'СРОКИ'!I16</f>
        <v/>
      </c>
      <c r="J12" s="47">
        <f>'Аренда'!J7*(1-'Вводные'!$F$34)*'СРОКИ'!J16</f>
        <v/>
      </c>
      <c r="K12" s="47">
        <f>'Аренда'!K7*(1-'Вводные'!$F$34)*'СРОКИ'!K16</f>
        <v/>
      </c>
      <c r="L12" s="47">
        <f>'Аренда'!L7*(1-'Вводные'!$F$34)*'СРОКИ'!L16</f>
        <v/>
      </c>
      <c r="M12" s="47">
        <f>'Аренда'!M7*(1-'Вводные'!$F$34)*'СРОКИ'!M16</f>
        <v/>
      </c>
      <c r="N12" s="47">
        <f>'Аренда'!N7*(1-'Вводные'!$F$34)*'СРОКИ'!N16</f>
        <v/>
      </c>
      <c r="O12" s="47">
        <f>'Аренда'!O7*(1-'Вводные'!$F$34)*'СРОКИ'!O16</f>
        <v/>
      </c>
      <c r="P12" s="47">
        <f>'Аренда'!P7*(1-'Вводные'!$F$34)*'СРОКИ'!P16</f>
        <v/>
      </c>
      <c r="Q12" s="47">
        <f>'Аренда'!Q7*(1-'Вводные'!$F$34)*'СРОКИ'!Q16</f>
        <v/>
      </c>
      <c r="R12" s="47">
        <f>'Аренда'!R7*(1-'Вводные'!$F$34)*'СРОКИ'!R16</f>
        <v/>
      </c>
      <c r="S12" s="47">
        <f>'Аренда'!S7*(1-'Вводные'!$F$34)*'СРОКИ'!S16</f>
        <v/>
      </c>
      <c r="T12" s="47">
        <f>'Аренда'!T7*(1-'Вводные'!$F$34)*'СРОКИ'!T16</f>
        <v/>
      </c>
      <c r="U12" s="47">
        <f>'Аренда'!U7*(1-'Вводные'!$F$34)*'СРОКИ'!U16</f>
        <v/>
      </c>
      <c r="V12" s="47">
        <f>'Аренда'!V7*(1-'Вводные'!$F$34)*'СРОКИ'!V16</f>
        <v/>
      </c>
      <c r="W12" s="47">
        <f>'Аренда'!W7*(1-'Вводные'!$F$34)*'СРОКИ'!W16</f>
        <v/>
      </c>
      <c r="X12" s="47">
        <f>'Аренда'!X7*(1-'Вводные'!$F$34)*'СРОКИ'!X16</f>
        <v/>
      </c>
      <c r="Y12" s="47">
        <f>'Аренда'!Y7*(1-'Вводные'!$F$34)*'СРОКИ'!Y16</f>
        <v/>
      </c>
      <c r="Z12" s="47">
        <f>'Аренда'!Z7*(1-'Вводные'!$F$34)*'СРОКИ'!Z16</f>
        <v/>
      </c>
      <c r="AA12" s="47">
        <f>'Аренда'!AA7*(1-'Вводные'!$F$34)*'СРОКИ'!AA16</f>
        <v/>
      </c>
      <c r="AB12" s="47">
        <f>'Аренда'!AB7*(1-'Вводные'!$F$34)*'СРОКИ'!AB16</f>
        <v/>
      </c>
      <c r="AC12" s="47">
        <f>'Аренда'!AC7*(1-'Вводные'!$F$34)*'СРОКИ'!AC16</f>
        <v/>
      </c>
      <c r="AD12" s="47">
        <f>'Аренда'!AD7*(1-'Вводные'!$F$34)*'СРОКИ'!AD16</f>
        <v/>
      </c>
      <c r="AE12" s="47">
        <f>'Аренда'!AE7*(1-'Вводные'!$F$34)*'СРОКИ'!AE16</f>
        <v/>
      </c>
      <c r="AF12" s="47">
        <f>'Аренда'!AF7*(1-'Вводные'!$F$34)*'СРОКИ'!AF16</f>
        <v/>
      </c>
      <c r="AG12" s="47">
        <f>'Аренда'!AG7*(1-'Вводные'!$F$34)*'СРОКИ'!AG16</f>
        <v/>
      </c>
      <c r="AH12" s="47">
        <f>'Аренда'!AH7*(1-'Вводные'!$F$34)*'СРОКИ'!AH16</f>
        <v/>
      </c>
      <c r="AI12" s="47">
        <f>'Аренда'!AI7*(1-'Вводные'!$F$34)*'СРОКИ'!AI16</f>
        <v/>
      </c>
      <c r="AJ12" s="47">
        <f>'Аренда'!AJ7*(1-'Вводные'!$F$34)*'СРОКИ'!AJ16</f>
        <v/>
      </c>
      <c r="AK12" s="47">
        <f>'Аренда'!AK7*(1-'Вводные'!$F$34)*'СРОКИ'!AK16</f>
        <v/>
      </c>
      <c r="AL12" s="47">
        <f>'Аренда'!AL7*(1-'Вводные'!$F$34)*'СРОКИ'!AL16</f>
        <v/>
      </c>
      <c r="AM12" s="47">
        <f>'Аренда'!AM7*(1-'Вводные'!$F$34)*'СРОКИ'!AM16</f>
        <v/>
      </c>
      <c r="AN12" s="47">
        <f>'Аренда'!AN7*(1-'Вводные'!$F$34)*'СРОКИ'!AN16</f>
        <v/>
      </c>
      <c r="AO12" s="47">
        <f>'Аренда'!AO7*(1-'Вводные'!$F$34)*'СРОКИ'!AO16</f>
        <v/>
      </c>
      <c r="AP12" s="47">
        <f>'Аренда'!AP7*(1-'Вводные'!$F$34)*'СРОКИ'!AP16</f>
        <v/>
      </c>
      <c r="AQ12" s="47">
        <f>'Аренда'!AQ7*(1-'Вводные'!$F$34)*'СРОКИ'!AQ16</f>
        <v/>
      </c>
      <c r="AR12" s="47">
        <f>'Аренда'!AR7*(1-'Вводные'!$F$34)*'СРОКИ'!AR16</f>
        <v/>
      </c>
      <c r="AS12" s="47">
        <f>'Аренда'!AS7*(1-'Вводные'!$F$34)*'СРОКИ'!AS16</f>
        <v/>
      </c>
      <c r="AT12" s="47">
        <f>'Аренда'!AT7*(1-'Вводные'!$F$34)*'СРОКИ'!AT16</f>
        <v/>
      </c>
      <c r="AU12" s="47">
        <f>'Аренда'!AU7*(1-'Вводные'!$F$34)*'СРОКИ'!AU16</f>
        <v/>
      </c>
      <c r="AV12" s="47">
        <f>'Аренда'!AV7*(1-'Вводные'!$F$34)*'СРОКИ'!AV16</f>
        <v/>
      </c>
      <c r="AW12" s="47">
        <f>'Аренда'!AW7*(1-'Вводные'!$F$34)*'СРОКИ'!AW16</f>
        <v/>
      </c>
      <c r="AX12" s="47">
        <f>'Аренда'!AX7*(1-'Вводные'!$F$34)*'СРОКИ'!AX16</f>
        <v/>
      </c>
      <c r="AY12" s="47">
        <f>'Аренда'!AY7*(1-'Вводные'!$F$34)*'СРОКИ'!AY16</f>
        <v/>
      </c>
      <c r="AZ12" s="47">
        <f>'Аренда'!AZ7*(1-'Вводные'!$F$34)*'СРОКИ'!AZ16</f>
        <v/>
      </c>
      <c r="BA12" s="47">
        <f>'Аренда'!BA7*(1-'Вводные'!$F$34)*'СРОКИ'!BA16</f>
        <v/>
      </c>
      <c r="BB12" s="47">
        <f>'Аренда'!BB7*(1-'Вводные'!$F$34)*'СРОКИ'!BB16</f>
        <v/>
      </c>
      <c r="BC12" s="47">
        <f>'Аренда'!BC7*(1-'Вводные'!$F$34)*'СРОКИ'!BC16</f>
        <v/>
      </c>
      <c r="BD12" s="47">
        <f>'Аренда'!BD7*(1-'Вводные'!$F$34)*'СРОКИ'!BD16</f>
        <v/>
      </c>
      <c r="BE12" s="47">
        <f>'Аренда'!BE7*(1-'Вводные'!$F$34)*'СРОКИ'!BE16</f>
        <v/>
      </c>
      <c r="BF12" s="47">
        <f>'Аренда'!BF7*(1-'Вводные'!$F$34)*'СРОКИ'!BF16</f>
        <v/>
      </c>
      <c r="BG12" s="47">
        <f>'Аренда'!BG7*(1-'Вводные'!$F$34)*'СРОКИ'!BG16</f>
        <v/>
      </c>
      <c r="BH12" s="47">
        <f>'Аренда'!BH7*(1-'Вводные'!$F$34)*'СРОКИ'!BH16</f>
        <v/>
      </c>
      <c r="BI12" s="47">
        <f>'Аренда'!BI7*(1-'Вводные'!$F$34)*'СРОКИ'!BI16</f>
        <v/>
      </c>
      <c r="BJ12" s="47">
        <f>'Аренда'!BJ7*(1-'Вводные'!$F$34)*'СРОКИ'!BJ16</f>
        <v/>
      </c>
      <c r="BK12" s="47">
        <f>'Аренда'!BK7*(1-'Вводные'!$F$34)*'СРОКИ'!BK16</f>
        <v/>
      </c>
      <c r="BL12" s="47">
        <f>'Аренда'!BL7*(1-'Вводные'!$F$34)*'СРОКИ'!BL16</f>
        <v/>
      </c>
      <c r="BM12" s="47">
        <f>'Аренда'!BM7*(1-'Вводные'!$F$34)*'СРОКИ'!BM16</f>
        <v/>
      </c>
      <c r="BN12" s="47">
        <f>'Аренда'!BN7*(1-'Вводные'!$F$34)*'СРОКИ'!BN16</f>
        <v/>
      </c>
      <c r="BO12" s="47">
        <f>'Аренда'!BO7*(1-'Вводные'!$F$34)*'СРОКИ'!BO16</f>
        <v/>
      </c>
      <c r="BP12" s="47">
        <f>'Аренда'!BP7*(1-'Вводные'!$F$34)*'СРОКИ'!BP16</f>
        <v/>
      </c>
      <c r="BQ12" s="47">
        <f>'Аренда'!BQ7*(1-'Вводные'!$F$34)*'СРОКИ'!BQ16</f>
        <v/>
      </c>
      <c r="BR12" s="47">
        <f>'Аренда'!BR7*(1-'Вводные'!$F$34)*'СРОКИ'!BR16</f>
        <v/>
      </c>
      <c r="BS12" s="47">
        <f>'Аренда'!BS7*(1-'Вводные'!$F$34)*'СРОКИ'!BS16</f>
        <v/>
      </c>
      <c r="BT12" s="47">
        <f>'Аренда'!BT7*(1-'Вводные'!$F$34)*'СРОКИ'!BT16</f>
        <v/>
      </c>
      <c r="BU12" s="47">
        <f>'Аренда'!BU7*(1-'Вводные'!$F$34)*'СРОКИ'!BU16</f>
        <v/>
      </c>
      <c r="BV12" s="47">
        <f>'Аренда'!BV7*(1-'Вводные'!$F$34)*'СРОКИ'!BV16</f>
        <v/>
      </c>
      <c r="BW12" s="47">
        <f>'Аренда'!BW7*(1-'Вводные'!$F$34)*'СРОКИ'!BW16</f>
        <v/>
      </c>
      <c r="BX12" s="47">
        <f>'Аренда'!BX7*(1-'Вводные'!$F$34)*'СРОКИ'!BX16</f>
        <v/>
      </c>
      <c r="BY12" s="47">
        <f>'Аренда'!BY7*(1-'Вводные'!$F$34)*'СРОКИ'!BY16</f>
        <v/>
      </c>
      <c r="BZ12" s="47">
        <f>'Аренда'!BZ7*(1-'Вводные'!$F$34)*'СРОКИ'!BZ16</f>
        <v/>
      </c>
      <c r="CA12" s="47">
        <f>'Аренда'!CA7*(1-'Вводные'!$F$34)*'СРОКИ'!CA16</f>
        <v/>
      </c>
      <c r="CB12" s="47">
        <f>'Аренда'!CB7*(1-'Вводные'!$F$34)*'СРОКИ'!CB16</f>
        <v/>
      </c>
      <c r="CC12" s="47">
        <f>'Аренда'!CC7*(1-'Вводные'!$F$34)*'СРОКИ'!CC16</f>
        <v/>
      </c>
      <c r="CD12" s="47">
        <f>'Аренда'!CD7*(1-'Вводные'!$F$34)*'СРОКИ'!CD16</f>
        <v/>
      </c>
      <c r="CE12" s="47">
        <f>'Аренда'!CE7*(1-'Вводные'!$F$34)*'СРОКИ'!CE16</f>
        <v/>
      </c>
      <c r="CF12" s="47">
        <f>'Аренда'!CF7*(1-'Вводные'!$F$34)*'СРОКИ'!CF16</f>
        <v/>
      </c>
      <c r="CG12" s="47">
        <f>'Аренда'!CG7*(1-'Вводные'!$F$34)*'СРОКИ'!CG16</f>
        <v/>
      </c>
      <c r="CH12" s="47">
        <f>'Аренда'!CH7*(1-'Вводные'!$F$34)*'СРОКИ'!CH16</f>
        <v/>
      </c>
      <c r="CI12" s="47">
        <f>'Аренда'!CI7*(1-'Вводные'!$F$34)*'СРОКИ'!CI16</f>
        <v/>
      </c>
      <c r="CJ12" s="47">
        <f>'Аренда'!CJ7*(1-'Вводные'!$F$34)*'СРОКИ'!CJ16</f>
        <v/>
      </c>
      <c r="CK12" s="47">
        <f>'Аренда'!CK7*(1-'Вводные'!$F$34)*'СРОКИ'!CK16</f>
        <v/>
      </c>
      <c r="CL12" s="47">
        <f>'Аренда'!CL7*(1-'Вводные'!$F$34)*'СРОКИ'!CL16</f>
        <v/>
      </c>
      <c r="CM12" s="47">
        <f>'Аренда'!CM7*(1-'Вводные'!$F$34)*'СРОКИ'!CM16</f>
        <v/>
      </c>
      <c r="CN12" s="47">
        <f>'Аренда'!CN7*(1-'Вводные'!$F$34)*'СРОКИ'!CN16</f>
        <v/>
      </c>
      <c r="CO12" s="47">
        <f>'Аренда'!CO7*(1-'Вводные'!$F$34)*'СРОКИ'!CO16</f>
        <v/>
      </c>
      <c r="CP12" s="47">
        <f>'Аренда'!CP7*(1-'Вводные'!$F$34)*'СРОКИ'!CP16</f>
        <v/>
      </c>
      <c r="CQ12" s="47">
        <f>'Аренда'!CQ7*(1-'Вводные'!$F$34)*'СРОКИ'!CQ16</f>
        <v/>
      </c>
      <c r="CR12" s="47">
        <f>'Аренда'!CR7*(1-'Вводные'!$F$34)*'СРОКИ'!CR16</f>
        <v/>
      </c>
      <c r="CS12" s="47">
        <f>'Аренда'!CS7*(1-'Вводные'!$F$34)*'СРОКИ'!CS16</f>
        <v/>
      </c>
      <c r="CT12" s="47">
        <f>'Аренда'!CT7*(1-'Вводные'!$F$34)*'СРОКИ'!CT16</f>
        <v/>
      </c>
      <c r="CU12" s="47">
        <f>'Аренда'!CU7*(1-'Вводные'!$F$34)*'СРОКИ'!CU16</f>
        <v/>
      </c>
      <c r="CV12" s="47">
        <f>'Аренда'!CV7*(1-'Вводные'!$F$34)*'СРОКИ'!CV16</f>
        <v/>
      </c>
      <c r="CW12" s="47">
        <f>'Аренда'!CW7*(1-'Вводные'!$F$34)*'СРОКИ'!CW16</f>
        <v/>
      </c>
      <c r="CX12" s="47">
        <f>'Аренда'!CX7*(1-'Вводные'!$F$34)*'СРОКИ'!CX16</f>
        <v/>
      </c>
      <c r="CY12" s="47">
        <f>'Аренда'!CY7*(1-'Вводные'!$F$34)*'СРОКИ'!CY16</f>
        <v/>
      </c>
      <c r="CZ12" s="47">
        <f>'Аренда'!CZ7*(1-'Вводные'!$F$34)*'СРОКИ'!CZ16</f>
        <v/>
      </c>
      <c r="DA12" s="47">
        <f>'Аренда'!DA7*(1-'Вводные'!$F$34)*'СРОКИ'!DA16</f>
        <v/>
      </c>
      <c r="DB12" s="47">
        <f>'Аренда'!DB7*(1-'Вводные'!$F$34)*'СРОКИ'!DB16</f>
        <v/>
      </c>
      <c r="DC12" s="47">
        <f>'Аренда'!DC7*(1-'Вводные'!$F$34)*'СРОКИ'!DC16</f>
        <v/>
      </c>
      <c r="DD12" s="47">
        <f>'Аренда'!DD7*(1-'Вводные'!$F$34)*'СРОКИ'!DD16</f>
        <v/>
      </c>
      <c r="DE12" s="47">
        <f>'Аренда'!DE7*(1-'Вводные'!$F$34)*'СРОКИ'!DE16</f>
        <v/>
      </c>
      <c r="DF12" s="47">
        <f>'Аренда'!DF7*(1-'Вводные'!$F$34)*'СРОКИ'!DF16</f>
        <v/>
      </c>
      <c r="DG12" s="47">
        <f>'Аренда'!DG7*(1-'Вводные'!$F$34)*'СРОКИ'!DG16</f>
        <v/>
      </c>
      <c r="DH12" s="47">
        <f>'Аренда'!DH7*(1-'Вводные'!$F$34)*'СРОКИ'!DH16</f>
        <v/>
      </c>
      <c r="DI12" s="47">
        <f>'Аренда'!DI7*(1-'Вводные'!$F$34)*'СРОКИ'!DI16</f>
        <v/>
      </c>
      <c r="DJ12" s="47">
        <f>'Аренда'!DJ7*(1-'Вводные'!$F$34)*'СРОКИ'!DJ16</f>
        <v/>
      </c>
      <c r="DK12" s="47">
        <f>'Аренда'!DK7*(1-'Вводные'!$F$34)*'СРОКИ'!DK16</f>
        <v/>
      </c>
      <c r="DL12" s="47">
        <f>'Аренда'!DL7*(1-'Вводные'!$F$34)*'СРОКИ'!DL16</f>
        <v/>
      </c>
      <c r="DM12" s="47">
        <f>'Аренда'!DM7*(1-'Вводные'!$F$34)*'СРОКИ'!DM16</f>
        <v/>
      </c>
    </row>
    <row r="13">
      <c r="A13" s="42" t="inlineStr">
        <is>
          <t>Продажа здания</t>
        </is>
      </c>
      <c r="B13" s="40">
        <f>SUM(D13:DM13)</f>
        <v/>
      </c>
      <c r="C13" s="37" t="inlineStr">
        <is>
          <t>млн ₽</t>
        </is>
      </c>
      <c r="D13" s="40">
        <f>IF('СРОКИ'!D10='СРОКИ'!$B$9,'Выход'!$B$6,0)</f>
        <v/>
      </c>
      <c r="E13" s="40">
        <f>IF('СРОКИ'!E10='СРОКИ'!$B$9,'Выход'!$B$6,0)</f>
        <v/>
      </c>
      <c r="F13" s="40">
        <f>IF('СРОКИ'!F10='СРОКИ'!$B$9,'Выход'!$B$6,0)</f>
        <v/>
      </c>
      <c r="G13" s="40">
        <f>IF('СРОКИ'!G10='СРОКИ'!$B$9,'Выход'!$B$6,0)</f>
        <v/>
      </c>
      <c r="H13" s="40">
        <f>IF('СРОКИ'!H10='СРОКИ'!$B$9,'Выход'!$B$6,0)</f>
        <v/>
      </c>
      <c r="I13" s="40">
        <f>IF('СРОКИ'!I10='СРОКИ'!$B$9,'Выход'!$B$6,0)</f>
        <v/>
      </c>
      <c r="J13" s="40">
        <f>IF('СРОКИ'!J10='СРОКИ'!$B$9,'Выход'!$B$6,0)</f>
        <v/>
      </c>
      <c r="K13" s="40">
        <f>IF('СРОКИ'!K10='СРОКИ'!$B$9,'Выход'!$B$6,0)</f>
        <v/>
      </c>
      <c r="L13" s="40">
        <f>IF('СРОКИ'!L10='СРОКИ'!$B$9,'Выход'!$B$6,0)</f>
        <v/>
      </c>
      <c r="M13" s="40">
        <f>IF('СРОКИ'!M10='СРОКИ'!$B$9,'Выход'!$B$6,0)</f>
        <v/>
      </c>
      <c r="N13" s="40">
        <f>IF('СРОКИ'!N10='СРОКИ'!$B$9,'Выход'!$B$6,0)</f>
        <v/>
      </c>
      <c r="O13" s="40">
        <f>IF('СРОКИ'!O10='СРОКИ'!$B$9,'Выход'!$B$6,0)</f>
        <v/>
      </c>
      <c r="P13" s="40">
        <f>IF('СРОКИ'!P10='СРОКИ'!$B$9,'Выход'!$B$6,0)</f>
        <v/>
      </c>
      <c r="Q13" s="40">
        <f>IF('СРОКИ'!Q10='СРОКИ'!$B$9,'Выход'!$B$6,0)</f>
        <v/>
      </c>
      <c r="R13" s="40">
        <f>IF('СРОКИ'!R10='СРОКИ'!$B$9,'Выход'!$B$6,0)</f>
        <v/>
      </c>
      <c r="S13" s="40">
        <f>IF('СРОКИ'!S10='СРОКИ'!$B$9,'Выход'!$B$6,0)</f>
        <v/>
      </c>
      <c r="T13" s="40">
        <f>IF('СРОКИ'!T10='СРОКИ'!$B$9,'Выход'!$B$6,0)</f>
        <v/>
      </c>
      <c r="U13" s="40">
        <f>IF('СРОКИ'!U10='СРОКИ'!$B$9,'Выход'!$B$6,0)</f>
        <v/>
      </c>
      <c r="V13" s="40">
        <f>IF('СРОКИ'!V10='СРОКИ'!$B$9,'Выход'!$B$6,0)</f>
        <v/>
      </c>
      <c r="W13" s="40">
        <f>IF('СРОКИ'!W10='СРОКИ'!$B$9,'Выход'!$B$6,0)</f>
        <v/>
      </c>
      <c r="X13" s="40">
        <f>IF('СРОКИ'!X10='СРОКИ'!$B$9,'Выход'!$B$6,0)</f>
        <v/>
      </c>
      <c r="Y13" s="40">
        <f>IF('СРОКИ'!Y10='СРОКИ'!$B$9,'Выход'!$B$6,0)</f>
        <v/>
      </c>
      <c r="Z13" s="40">
        <f>IF('СРОКИ'!Z10='СРОКИ'!$B$9,'Выход'!$B$6,0)</f>
        <v/>
      </c>
      <c r="AA13" s="40">
        <f>IF('СРОКИ'!AA10='СРОКИ'!$B$9,'Выход'!$B$6,0)</f>
        <v/>
      </c>
      <c r="AB13" s="40">
        <f>IF('СРОКИ'!AB10='СРОКИ'!$B$9,'Выход'!$B$6,0)</f>
        <v/>
      </c>
      <c r="AC13" s="40">
        <f>IF('СРОКИ'!AC10='СРОКИ'!$B$9,'Выход'!$B$6,0)</f>
        <v/>
      </c>
      <c r="AD13" s="40">
        <f>IF('СРОКИ'!AD10='СРОКИ'!$B$9,'Выход'!$B$6,0)</f>
        <v/>
      </c>
      <c r="AE13" s="40">
        <f>IF('СРОКИ'!AE10='СРОКИ'!$B$9,'Выход'!$B$6,0)</f>
        <v/>
      </c>
      <c r="AF13" s="40">
        <f>IF('СРОКИ'!AF10='СРОКИ'!$B$9,'Выход'!$B$6,0)</f>
        <v/>
      </c>
      <c r="AG13" s="40">
        <f>IF('СРОКИ'!AG10='СРОКИ'!$B$9,'Выход'!$B$6,0)</f>
        <v/>
      </c>
      <c r="AH13" s="40">
        <f>IF('СРОКИ'!AH10='СРОКИ'!$B$9,'Выход'!$B$6,0)</f>
        <v/>
      </c>
      <c r="AI13" s="40">
        <f>IF('СРОКИ'!AI10='СРОКИ'!$B$9,'Выход'!$B$6,0)</f>
        <v/>
      </c>
      <c r="AJ13" s="40">
        <f>IF('СРОКИ'!AJ10='СРОКИ'!$B$9,'Выход'!$B$6,0)</f>
        <v/>
      </c>
      <c r="AK13" s="40">
        <f>IF('СРОКИ'!AK10='СРОКИ'!$B$9,'Выход'!$B$6,0)</f>
        <v/>
      </c>
      <c r="AL13" s="40">
        <f>IF('СРОКИ'!AL10='СРОКИ'!$B$9,'Выход'!$B$6,0)</f>
        <v/>
      </c>
      <c r="AM13" s="40">
        <f>IF('СРОКИ'!AM10='СРОКИ'!$B$9,'Выход'!$B$6,0)</f>
        <v/>
      </c>
      <c r="AN13" s="40">
        <f>IF('СРОКИ'!AN10='СРОКИ'!$B$9,'Выход'!$B$6,0)</f>
        <v/>
      </c>
      <c r="AO13" s="40">
        <f>IF('СРОКИ'!AO10='СРОКИ'!$B$9,'Выход'!$B$6,0)</f>
        <v/>
      </c>
      <c r="AP13" s="40">
        <f>IF('СРОКИ'!AP10='СРОКИ'!$B$9,'Выход'!$B$6,0)</f>
        <v/>
      </c>
      <c r="AQ13" s="40">
        <f>IF('СРОКИ'!AQ10='СРОКИ'!$B$9,'Выход'!$B$6,0)</f>
        <v/>
      </c>
      <c r="AR13" s="40">
        <f>IF('СРОКИ'!AR10='СРОКИ'!$B$9,'Выход'!$B$6,0)</f>
        <v/>
      </c>
      <c r="AS13" s="40">
        <f>IF('СРОКИ'!AS10='СРОКИ'!$B$9,'Выход'!$B$6,0)</f>
        <v/>
      </c>
      <c r="AT13" s="40">
        <f>IF('СРОКИ'!AT10='СРОКИ'!$B$9,'Выход'!$B$6,0)</f>
        <v/>
      </c>
      <c r="AU13" s="40">
        <f>IF('СРОКИ'!AU10='СРОКИ'!$B$9,'Выход'!$B$6,0)</f>
        <v/>
      </c>
      <c r="AV13" s="40">
        <f>IF('СРОКИ'!AV10='СРОКИ'!$B$9,'Выход'!$B$6,0)</f>
        <v/>
      </c>
      <c r="AW13" s="40">
        <f>IF('СРОКИ'!AW10='СРОКИ'!$B$9,'Выход'!$B$6,0)</f>
        <v/>
      </c>
      <c r="AX13" s="40">
        <f>IF('СРОКИ'!AX10='СРОКИ'!$B$9,'Выход'!$B$6,0)</f>
        <v/>
      </c>
      <c r="AY13" s="40">
        <f>IF('СРОКИ'!AY10='СРОКИ'!$B$9,'Выход'!$B$6,0)</f>
        <v/>
      </c>
      <c r="AZ13" s="40">
        <f>IF('СРОКИ'!AZ10='СРОКИ'!$B$9,'Выход'!$B$6,0)</f>
        <v/>
      </c>
      <c r="BA13" s="40">
        <f>IF('СРОКИ'!BA10='СРОКИ'!$B$9,'Выход'!$B$6,0)</f>
        <v/>
      </c>
      <c r="BB13" s="40">
        <f>IF('СРОКИ'!BB10='СРОКИ'!$B$9,'Выход'!$B$6,0)</f>
        <v/>
      </c>
      <c r="BC13" s="40">
        <f>IF('СРОКИ'!BC10='СРОКИ'!$B$9,'Выход'!$B$6,0)</f>
        <v/>
      </c>
      <c r="BD13" s="40">
        <f>IF('СРОКИ'!BD10='СРОКИ'!$B$9,'Выход'!$B$6,0)</f>
        <v/>
      </c>
      <c r="BE13" s="40">
        <f>IF('СРОКИ'!BE10='СРОКИ'!$B$9,'Выход'!$B$6,0)</f>
        <v/>
      </c>
      <c r="BF13" s="40">
        <f>IF('СРОКИ'!BF10='СРОКИ'!$B$9,'Выход'!$B$6,0)</f>
        <v/>
      </c>
      <c r="BG13" s="40">
        <f>IF('СРОКИ'!BG10='СРОКИ'!$B$9,'Выход'!$B$6,0)</f>
        <v/>
      </c>
      <c r="BH13" s="40">
        <f>IF('СРОКИ'!BH10='СРОКИ'!$B$9,'Выход'!$B$6,0)</f>
        <v/>
      </c>
      <c r="BI13" s="40">
        <f>IF('СРОКИ'!BI10='СРОКИ'!$B$9,'Выход'!$B$6,0)</f>
        <v/>
      </c>
      <c r="BJ13" s="40">
        <f>IF('СРОКИ'!BJ10='СРОКИ'!$B$9,'Выход'!$B$6,0)</f>
        <v/>
      </c>
      <c r="BK13" s="40">
        <f>IF('СРОКИ'!BK10='СРОКИ'!$B$9,'Выход'!$B$6,0)</f>
        <v/>
      </c>
      <c r="BL13" s="40">
        <f>IF('СРОКИ'!BL10='СРОКИ'!$B$9,'Выход'!$B$6,0)</f>
        <v/>
      </c>
      <c r="BM13" s="40">
        <f>IF('СРОКИ'!BM10='СРОКИ'!$B$9,'Выход'!$B$6,0)</f>
        <v/>
      </c>
      <c r="BN13" s="40">
        <f>IF('СРОКИ'!BN10='СРОКИ'!$B$9,'Выход'!$B$6,0)</f>
        <v/>
      </c>
      <c r="BO13" s="40">
        <f>IF('СРОКИ'!BO10='СРОКИ'!$B$9,'Выход'!$B$6,0)</f>
        <v/>
      </c>
      <c r="BP13" s="40">
        <f>IF('СРОКИ'!BP10='СРОКИ'!$B$9,'Выход'!$B$6,0)</f>
        <v/>
      </c>
      <c r="BQ13" s="40">
        <f>IF('СРОКИ'!BQ10='СРОКИ'!$B$9,'Выход'!$B$6,0)</f>
        <v/>
      </c>
      <c r="BR13" s="40">
        <f>IF('СРОКИ'!BR10='СРОКИ'!$B$9,'Выход'!$B$6,0)</f>
        <v/>
      </c>
      <c r="BS13" s="40">
        <f>IF('СРОКИ'!BS10='СРОКИ'!$B$9,'Выход'!$B$6,0)</f>
        <v/>
      </c>
      <c r="BT13" s="40">
        <f>IF('СРОКИ'!BT10='СРОКИ'!$B$9,'Выход'!$B$6,0)</f>
        <v/>
      </c>
      <c r="BU13" s="40">
        <f>IF('СРОКИ'!BU10='СРОКИ'!$B$9,'Выход'!$B$6,0)</f>
        <v/>
      </c>
      <c r="BV13" s="40">
        <f>IF('СРОКИ'!BV10='СРОКИ'!$B$9,'Выход'!$B$6,0)</f>
        <v/>
      </c>
      <c r="BW13" s="40">
        <f>IF('СРОКИ'!BW10='СРОКИ'!$B$9,'Выход'!$B$6,0)</f>
        <v/>
      </c>
      <c r="BX13" s="40">
        <f>IF('СРОКИ'!BX10='СРОКИ'!$B$9,'Выход'!$B$6,0)</f>
        <v/>
      </c>
      <c r="BY13" s="40">
        <f>IF('СРОКИ'!BY10='СРОКИ'!$B$9,'Выход'!$B$6,0)</f>
        <v/>
      </c>
      <c r="BZ13" s="40">
        <f>IF('СРОКИ'!BZ10='СРОКИ'!$B$9,'Выход'!$B$6,0)</f>
        <v/>
      </c>
      <c r="CA13" s="40">
        <f>IF('СРОКИ'!CA10='СРОКИ'!$B$9,'Выход'!$B$6,0)</f>
        <v/>
      </c>
      <c r="CB13" s="40">
        <f>IF('СРОКИ'!CB10='СРОКИ'!$B$9,'Выход'!$B$6,0)</f>
        <v/>
      </c>
      <c r="CC13" s="40">
        <f>IF('СРОКИ'!CC10='СРОКИ'!$B$9,'Выход'!$B$6,0)</f>
        <v/>
      </c>
      <c r="CD13" s="40">
        <f>IF('СРОКИ'!CD10='СРОКИ'!$B$9,'Выход'!$B$6,0)</f>
        <v/>
      </c>
      <c r="CE13" s="40">
        <f>IF('СРОКИ'!CE10='СРОКИ'!$B$9,'Выход'!$B$6,0)</f>
        <v/>
      </c>
      <c r="CF13" s="40">
        <f>IF('СРОКИ'!CF10='СРОКИ'!$B$9,'Выход'!$B$6,0)</f>
        <v/>
      </c>
      <c r="CG13" s="40">
        <f>IF('СРОКИ'!CG10='СРОКИ'!$B$9,'Выход'!$B$6,0)</f>
        <v/>
      </c>
      <c r="CH13" s="40">
        <f>IF('СРОКИ'!CH10='СРОКИ'!$B$9,'Выход'!$B$6,0)</f>
        <v/>
      </c>
      <c r="CI13" s="40">
        <f>IF('СРОКИ'!CI10='СРОКИ'!$B$9,'Выход'!$B$6,0)</f>
        <v/>
      </c>
      <c r="CJ13" s="40">
        <f>IF('СРОКИ'!CJ10='СРОКИ'!$B$9,'Выход'!$B$6,0)</f>
        <v/>
      </c>
      <c r="CK13" s="40">
        <f>IF('СРОКИ'!CK10='СРОКИ'!$B$9,'Выход'!$B$6,0)</f>
        <v/>
      </c>
      <c r="CL13" s="40">
        <f>IF('СРОКИ'!CL10='СРОКИ'!$B$9,'Выход'!$B$6,0)</f>
        <v/>
      </c>
      <c r="CM13" s="40">
        <f>IF('СРОКИ'!CM10='СРОКИ'!$B$9,'Выход'!$B$6,0)</f>
        <v/>
      </c>
      <c r="CN13" s="40">
        <f>IF('СРОКИ'!CN10='СРОКИ'!$B$9,'Выход'!$B$6,0)</f>
        <v/>
      </c>
      <c r="CO13" s="40">
        <f>IF('СРОКИ'!CO10='СРОКИ'!$B$9,'Выход'!$B$6,0)</f>
        <v/>
      </c>
      <c r="CP13" s="40">
        <f>IF('СРОКИ'!CP10='СРОКИ'!$B$9,'Выход'!$B$6,0)</f>
        <v/>
      </c>
      <c r="CQ13" s="40">
        <f>IF('СРОКИ'!CQ10='СРОКИ'!$B$9,'Выход'!$B$6,0)</f>
        <v/>
      </c>
      <c r="CR13" s="40">
        <f>IF('СРОКИ'!CR10='СРОКИ'!$B$9,'Выход'!$B$6,0)</f>
        <v/>
      </c>
      <c r="CS13" s="40">
        <f>IF('СРОКИ'!CS10='СРОКИ'!$B$9,'Выход'!$B$6,0)</f>
        <v/>
      </c>
      <c r="CT13" s="40">
        <f>IF('СРОКИ'!CT10='СРОКИ'!$B$9,'Выход'!$B$6,0)</f>
        <v/>
      </c>
      <c r="CU13" s="40">
        <f>IF('СРОКИ'!CU10='СРОКИ'!$B$9,'Выход'!$B$6,0)</f>
        <v/>
      </c>
      <c r="CV13" s="40">
        <f>IF('СРОКИ'!CV10='СРОКИ'!$B$9,'Выход'!$B$6,0)</f>
        <v/>
      </c>
      <c r="CW13" s="40">
        <f>IF('СРОКИ'!CW10='СРОКИ'!$B$9,'Выход'!$B$6,0)</f>
        <v/>
      </c>
      <c r="CX13" s="40">
        <f>IF('СРОКИ'!CX10='СРОКИ'!$B$9,'Выход'!$B$6,0)</f>
        <v/>
      </c>
      <c r="CY13" s="40">
        <f>IF('СРОКИ'!CY10='СРОКИ'!$B$9,'Выход'!$B$6,0)</f>
        <v/>
      </c>
      <c r="CZ13" s="40">
        <f>IF('СРОКИ'!CZ10='СРОКИ'!$B$9,'Выход'!$B$6,0)</f>
        <v/>
      </c>
      <c r="DA13" s="40">
        <f>IF('СРОКИ'!DA10='СРОКИ'!$B$9,'Выход'!$B$6,0)</f>
        <v/>
      </c>
      <c r="DB13" s="40">
        <f>IF('СРОКИ'!DB10='СРОКИ'!$B$9,'Выход'!$B$6,0)</f>
        <v/>
      </c>
      <c r="DC13" s="40">
        <f>IF('СРОКИ'!DC10='СРОКИ'!$B$9,'Выход'!$B$6,0)</f>
        <v/>
      </c>
      <c r="DD13" s="40">
        <f>IF('СРОКИ'!DD10='СРОКИ'!$B$9,'Выход'!$B$6,0)</f>
        <v/>
      </c>
      <c r="DE13" s="40">
        <f>IF('СРОКИ'!DE10='СРОКИ'!$B$9,'Выход'!$B$6,0)</f>
        <v/>
      </c>
      <c r="DF13" s="40">
        <f>IF('СРОКИ'!DF10='СРОКИ'!$B$9,'Выход'!$B$6,0)</f>
        <v/>
      </c>
      <c r="DG13" s="40">
        <f>IF('СРОКИ'!DG10='СРОКИ'!$B$9,'Выход'!$B$6,0)</f>
        <v/>
      </c>
      <c r="DH13" s="40">
        <f>IF('СРОКИ'!DH10='СРОКИ'!$B$9,'Выход'!$B$6,0)</f>
        <v/>
      </c>
      <c r="DI13" s="40">
        <f>IF('СРОКИ'!DI10='СРОКИ'!$B$9,'Выход'!$B$6,0)</f>
        <v/>
      </c>
      <c r="DJ13" s="40">
        <f>IF('СРОКИ'!DJ10='СРОКИ'!$B$9,'Выход'!$B$6,0)</f>
        <v/>
      </c>
      <c r="DK13" s="40">
        <f>IF('СРОКИ'!DK10='СРОКИ'!$B$9,'Выход'!$B$6,0)</f>
        <v/>
      </c>
      <c r="DL13" s="40">
        <f>IF('СРОКИ'!DL10='СРОКИ'!$B$9,'Выход'!$B$6,0)</f>
        <v/>
      </c>
      <c r="DM13" s="40">
        <f>IF('СРОКИ'!DM10='СРОКИ'!$B$9,'Выход'!$B$6,0)</f>
        <v/>
      </c>
    </row>
    <row r="14">
      <c r="A14" s="36" t="inlineStr">
        <is>
          <t>Расходы на сделку</t>
        </is>
      </c>
      <c r="B14" s="40">
        <f>SUM(D14:DM14)</f>
        <v/>
      </c>
      <c r="C14" s="37" t="inlineStr">
        <is>
          <t>млн ₽</t>
        </is>
      </c>
      <c r="D14" s="47">
        <f>IF('СРОКИ'!D10='СРОКИ'!$B$9,'Выход'!$B$7,0)</f>
        <v/>
      </c>
      <c r="E14" s="47">
        <f>IF('СРОКИ'!E10='СРОКИ'!$B$9,'Выход'!$B$7,0)</f>
        <v/>
      </c>
      <c r="F14" s="47">
        <f>IF('СРОКИ'!F10='СРОКИ'!$B$9,'Выход'!$B$7,0)</f>
        <v/>
      </c>
      <c r="G14" s="47">
        <f>IF('СРОКИ'!G10='СРОКИ'!$B$9,'Выход'!$B$7,0)</f>
        <v/>
      </c>
      <c r="H14" s="47">
        <f>IF('СРОКИ'!H10='СРОКИ'!$B$9,'Выход'!$B$7,0)</f>
        <v/>
      </c>
      <c r="I14" s="47">
        <f>IF('СРОКИ'!I10='СРОКИ'!$B$9,'Выход'!$B$7,0)</f>
        <v/>
      </c>
      <c r="J14" s="47">
        <f>IF('СРОКИ'!J10='СРОКИ'!$B$9,'Выход'!$B$7,0)</f>
        <v/>
      </c>
      <c r="K14" s="47">
        <f>IF('СРОКИ'!K10='СРОКИ'!$B$9,'Выход'!$B$7,0)</f>
        <v/>
      </c>
      <c r="L14" s="47">
        <f>IF('СРОКИ'!L10='СРОКИ'!$B$9,'Выход'!$B$7,0)</f>
        <v/>
      </c>
      <c r="M14" s="47">
        <f>IF('СРОКИ'!M10='СРОКИ'!$B$9,'Выход'!$B$7,0)</f>
        <v/>
      </c>
      <c r="N14" s="47">
        <f>IF('СРОКИ'!N10='СРОКИ'!$B$9,'Выход'!$B$7,0)</f>
        <v/>
      </c>
      <c r="O14" s="47">
        <f>IF('СРОКИ'!O10='СРОКИ'!$B$9,'Выход'!$B$7,0)</f>
        <v/>
      </c>
      <c r="P14" s="47">
        <f>IF('СРОКИ'!P10='СРОКИ'!$B$9,'Выход'!$B$7,0)</f>
        <v/>
      </c>
      <c r="Q14" s="47">
        <f>IF('СРОКИ'!Q10='СРОКИ'!$B$9,'Выход'!$B$7,0)</f>
        <v/>
      </c>
      <c r="R14" s="47">
        <f>IF('СРОКИ'!R10='СРОКИ'!$B$9,'Выход'!$B$7,0)</f>
        <v/>
      </c>
      <c r="S14" s="47">
        <f>IF('СРОКИ'!S10='СРОКИ'!$B$9,'Выход'!$B$7,0)</f>
        <v/>
      </c>
      <c r="T14" s="47">
        <f>IF('СРОКИ'!T10='СРОКИ'!$B$9,'Выход'!$B$7,0)</f>
        <v/>
      </c>
      <c r="U14" s="47">
        <f>IF('СРОКИ'!U10='СРОКИ'!$B$9,'Выход'!$B$7,0)</f>
        <v/>
      </c>
      <c r="V14" s="47">
        <f>IF('СРОКИ'!V10='СРОКИ'!$B$9,'Выход'!$B$7,0)</f>
        <v/>
      </c>
      <c r="W14" s="47">
        <f>IF('СРОКИ'!W10='СРОКИ'!$B$9,'Выход'!$B$7,0)</f>
        <v/>
      </c>
      <c r="X14" s="47">
        <f>IF('СРОКИ'!X10='СРОКИ'!$B$9,'Выход'!$B$7,0)</f>
        <v/>
      </c>
      <c r="Y14" s="47">
        <f>IF('СРОКИ'!Y10='СРОКИ'!$B$9,'Выход'!$B$7,0)</f>
        <v/>
      </c>
      <c r="Z14" s="47">
        <f>IF('СРОКИ'!Z10='СРОКИ'!$B$9,'Выход'!$B$7,0)</f>
        <v/>
      </c>
      <c r="AA14" s="47">
        <f>IF('СРОКИ'!AA10='СРОКИ'!$B$9,'Выход'!$B$7,0)</f>
        <v/>
      </c>
      <c r="AB14" s="47">
        <f>IF('СРОКИ'!AB10='СРОКИ'!$B$9,'Выход'!$B$7,0)</f>
        <v/>
      </c>
      <c r="AC14" s="47">
        <f>IF('СРОКИ'!AC10='СРОКИ'!$B$9,'Выход'!$B$7,0)</f>
        <v/>
      </c>
      <c r="AD14" s="47">
        <f>IF('СРОКИ'!AD10='СРОКИ'!$B$9,'Выход'!$B$7,0)</f>
        <v/>
      </c>
      <c r="AE14" s="47">
        <f>IF('СРОКИ'!AE10='СРОКИ'!$B$9,'Выход'!$B$7,0)</f>
        <v/>
      </c>
      <c r="AF14" s="47">
        <f>IF('СРОКИ'!AF10='СРОКИ'!$B$9,'Выход'!$B$7,0)</f>
        <v/>
      </c>
      <c r="AG14" s="47">
        <f>IF('СРОКИ'!AG10='СРОКИ'!$B$9,'Выход'!$B$7,0)</f>
        <v/>
      </c>
      <c r="AH14" s="47">
        <f>IF('СРОКИ'!AH10='СРОКИ'!$B$9,'Выход'!$B$7,0)</f>
        <v/>
      </c>
      <c r="AI14" s="47">
        <f>IF('СРОКИ'!AI10='СРОКИ'!$B$9,'Выход'!$B$7,0)</f>
        <v/>
      </c>
      <c r="AJ14" s="47">
        <f>IF('СРОКИ'!AJ10='СРОКИ'!$B$9,'Выход'!$B$7,0)</f>
        <v/>
      </c>
      <c r="AK14" s="47">
        <f>IF('СРОКИ'!AK10='СРОКИ'!$B$9,'Выход'!$B$7,0)</f>
        <v/>
      </c>
      <c r="AL14" s="47">
        <f>IF('СРОКИ'!AL10='СРОКИ'!$B$9,'Выход'!$B$7,0)</f>
        <v/>
      </c>
      <c r="AM14" s="47">
        <f>IF('СРОКИ'!AM10='СРОКИ'!$B$9,'Выход'!$B$7,0)</f>
        <v/>
      </c>
      <c r="AN14" s="47">
        <f>IF('СРОКИ'!AN10='СРОКИ'!$B$9,'Выход'!$B$7,0)</f>
        <v/>
      </c>
      <c r="AO14" s="47">
        <f>IF('СРОКИ'!AO10='СРОКИ'!$B$9,'Выход'!$B$7,0)</f>
        <v/>
      </c>
      <c r="AP14" s="47">
        <f>IF('СРОКИ'!AP10='СРОКИ'!$B$9,'Выход'!$B$7,0)</f>
        <v/>
      </c>
      <c r="AQ14" s="47">
        <f>IF('СРОКИ'!AQ10='СРОКИ'!$B$9,'Выход'!$B$7,0)</f>
        <v/>
      </c>
      <c r="AR14" s="47">
        <f>IF('СРОКИ'!AR10='СРОКИ'!$B$9,'Выход'!$B$7,0)</f>
        <v/>
      </c>
      <c r="AS14" s="47">
        <f>IF('СРОКИ'!AS10='СРОКИ'!$B$9,'Выход'!$B$7,0)</f>
        <v/>
      </c>
      <c r="AT14" s="47">
        <f>IF('СРОКИ'!AT10='СРОКИ'!$B$9,'Выход'!$B$7,0)</f>
        <v/>
      </c>
      <c r="AU14" s="47">
        <f>IF('СРОКИ'!AU10='СРОКИ'!$B$9,'Выход'!$B$7,0)</f>
        <v/>
      </c>
      <c r="AV14" s="47">
        <f>IF('СРОКИ'!AV10='СРОКИ'!$B$9,'Выход'!$B$7,0)</f>
        <v/>
      </c>
      <c r="AW14" s="47">
        <f>IF('СРОКИ'!AW10='СРОКИ'!$B$9,'Выход'!$B$7,0)</f>
        <v/>
      </c>
      <c r="AX14" s="47">
        <f>IF('СРОКИ'!AX10='СРОКИ'!$B$9,'Выход'!$B$7,0)</f>
        <v/>
      </c>
      <c r="AY14" s="47">
        <f>IF('СРОКИ'!AY10='СРОКИ'!$B$9,'Выход'!$B$7,0)</f>
        <v/>
      </c>
      <c r="AZ14" s="47">
        <f>IF('СРОКИ'!AZ10='СРОКИ'!$B$9,'Выход'!$B$7,0)</f>
        <v/>
      </c>
      <c r="BA14" s="47">
        <f>IF('СРОКИ'!BA10='СРОКИ'!$B$9,'Выход'!$B$7,0)</f>
        <v/>
      </c>
      <c r="BB14" s="47">
        <f>IF('СРОКИ'!BB10='СРОКИ'!$B$9,'Выход'!$B$7,0)</f>
        <v/>
      </c>
      <c r="BC14" s="47">
        <f>IF('СРОКИ'!BC10='СРОКИ'!$B$9,'Выход'!$B$7,0)</f>
        <v/>
      </c>
      <c r="BD14" s="47">
        <f>IF('СРОКИ'!BD10='СРОКИ'!$B$9,'Выход'!$B$7,0)</f>
        <v/>
      </c>
      <c r="BE14" s="47">
        <f>IF('СРОКИ'!BE10='СРОКИ'!$B$9,'Выход'!$B$7,0)</f>
        <v/>
      </c>
      <c r="BF14" s="47">
        <f>IF('СРОКИ'!BF10='СРОКИ'!$B$9,'Выход'!$B$7,0)</f>
        <v/>
      </c>
      <c r="BG14" s="47">
        <f>IF('СРОКИ'!BG10='СРОКИ'!$B$9,'Выход'!$B$7,0)</f>
        <v/>
      </c>
      <c r="BH14" s="47">
        <f>IF('СРОКИ'!BH10='СРОКИ'!$B$9,'Выход'!$B$7,0)</f>
        <v/>
      </c>
      <c r="BI14" s="47">
        <f>IF('СРОКИ'!BI10='СРОКИ'!$B$9,'Выход'!$B$7,0)</f>
        <v/>
      </c>
      <c r="BJ14" s="47">
        <f>IF('СРОКИ'!BJ10='СРОКИ'!$B$9,'Выход'!$B$7,0)</f>
        <v/>
      </c>
      <c r="BK14" s="47">
        <f>IF('СРОКИ'!BK10='СРОКИ'!$B$9,'Выход'!$B$7,0)</f>
        <v/>
      </c>
      <c r="BL14" s="47">
        <f>IF('СРОКИ'!BL10='СРОКИ'!$B$9,'Выход'!$B$7,0)</f>
        <v/>
      </c>
      <c r="BM14" s="47">
        <f>IF('СРОКИ'!BM10='СРОКИ'!$B$9,'Выход'!$B$7,0)</f>
        <v/>
      </c>
      <c r="BN14" s="47">
        <f>IF('СРОКИ'!BN10='СРОКИ'!$B$9,'Выход'!$B$7,0)</f>
        <v/>
      </c>
      <c r="BO14" s="47">
        <f>IF('СРОКИ'!BO10='СРОКИ'!$B$9,'Выход'!$B$7,0)</f>
        <v/>
      </c>
      <c r="BP14" s="47">
        <f>IF('СРОКИ'!BP10='СРОКИ'!$B$9,'Выход'!$B$7,0)</f>
        <v/>
      </c>
      <c r="BQ14" s="47">
        <f>IF('СРОКИ'!BQ10='СРОКИ'!$B$9,'Выход'!$B$7,0)</f>
        <v/>
      </c>
      <c r="BR14" s="47">
        <f>IF('СРОКИ'!BR10='СРОКИ'!$B$9,'Выход'!$B$7,0)</f>
        <v/>
      </c>
      <c r="BS14" s="47">
        <f>IF('СРОКИ'!BS10='СРОКИ'!$B$9,'Выход'!$B$7,0)</f>
        <v/>
      </c>
      <c r="BT14" s="47">
        <f>IF('СРОКИ'!BT10='СРОКИ'!$B$9,'Выход'!$B$7,0)</f>
        <v/>
      </c>
      <c r="BU14" s="47">
        <f>IF('СРОКИ'!BU10='СРОКИ'!$B$9,'Выход'!$B$7,0)</f>
        <v/>
      </c>
      <c r="BV14" s="47">
        <f>IF('СРОКИ'!BV10='СРОКИ'!$B$9,'Выход'!$B$7,0)</f>
        <v/>
      </c>
      <c r="BW14" s="47">
        <f>IF('СРОКИ'!BW10='СРОКИ'!$B$9,'Выход'!$B$7,0)</f>
        <v/>
      </c>
      <c r="BX14" s="47">
        <f>IF('СРОКИ'!BX10='СРОКИ'!$B$9,'Выход'!$B$7,0)</f>
        <v/>
      </c>
      <c r="BY14" s="47">
        <f>IF('СРОКИ'!BY10='СРОКИ'!$B$9,'Выход'!$B$7,0)</f>
        <v/>
      </c>
      <c r="BZ14" s="47">
        <f>IF('СРОКИ'!BZ10='СРОКИ'!$B$9,'Выход'!$B$7,0)</f>
        <v/>
      </c>
      <c r="CA14" s="47">
        <f>IF('СРОКИ'!CA10='СРОКИ'!$B$9,'Выход'!$B$7,0)</f>
        <v/>
      </c>
      <c r="CB14" s="47">
        <f>IF('СРОКИ'!CB10='СРОКИ'!$B$9,'Выход'!$B$7,0)</f>
        <v/>
      </c>
      <c r="CC14" s="47">
        <f>IF('СРОКИ'!CC10='СРОКИ'!$B$9,'Выход'!$B$7,0)</f>
        <v/>
      </c>
      <c r="CD14" s="47">
        <f>IF('СРОКИ'!CD10='СРОКИ'!$B$9,'Выход'!$B$7,0)</f>
        <v/>
      </c>
      <c r="CE14" s="47">
        <f>IF('СРОКИ'!CE10='СРОКИ'!$B$9,'Выход'!$B$7,0)</f>
        <v/>
      </c>
      <c r="CF14" s="47">
        <f>IF('СРОКИ'!CF10='СРОКИ'!$B$9,'Выход'!$B$7,0)</f>
        <v/>
      </c>
      <c r="CG14" s="47">
        <f>IF('СРОКИ'!CG10='СРОКИ'!$B$9,'Выход'!$B$7,0)</f>
        <v/>
      </c>
      <c r="CH14" s="47">
        <f>IF('СРОКИ'!CH10='СРОКИ'!$B$9,'Выход'!$B$7,0)</f>
        <v/>
      </c>
      <c r="CI14" s="47">
        <f>IF('СРОКИ'!CI10='СРОКИ'!$B$9,'Выход'!$B$7,0)</f>
        <v/>
      </c>
      <c r="CJ14" s="47">
        <f>IF('СРОКИ'!CJ10='СРОКИ'!$B$9,'Выход'!$B$7,0)</f>
        <v/>
      </c>
      <c r="CK14" s="47">
        <f>IF('СРОКИ'!CK10='СРОКИ'!$B$9,'Выход'!$B$7,0)</f>
        <v/>
      </c>
      <c r="CL14" s="47">
        <f>IF('СРОКИ'!CL10='СРОКИ'!$B$9,'Выход'!$B$7,0)</f>
        <v/>
      </c>
      <c r="CM14" s="47">
        <f>IF('СРОКИ'!CM10='СРОКИ'!$B$9,'Выход'!$B$7,0)</f>
        <v/>
      </c>
      <c r="CN14" s="47">
        <f>IF('СРОКИ'!CN10='СРОКИ'!$B$9,'Выход'!$B$7,0)</f>
        <v/>
      </c>
      <c r="CO14" s="47">
        <f>IF('СРОКИ'!CO10='СРОКИ'!$B$9,'Выход'!$B$7,0)</f>
        <v/>
      </c>
      <c r="CP14" s="47">
        <f>IF('СРОКИ'!CP10='СРОКИ'!$B$9,'Выход'!$B$7,0)</f>
        <v/>
      </c>
      <c r="CQ14" s="47">
        <f>IF('СРОКИ'!CQ10='СРОКИ'!$B$9,'Выход'!$B$7,0)</f>
        <v/>
      </c>
      <c r="CR14" s="47">
        <f>IF('СРОКИ'!CR10='СРОКИ'!$B$9,'Выход'!$B$7,0)</f>
        <v/>
      </c>
      <c r="CS14" s="47">
        <f>IF('СРОКИ'!CS10='СРОКИ'!$B$9,'Выход'!$B$7,0)</f>
        <v/>
      </c>
      <c r="CT14" s="47">
        <f>IF('СРОКИ'!CT10='СРОКИ'!$B$9,'Выход'!$B$7,0)</f>
        <v/>
      </c>
      <c r="CU14" s="47">
        <f>IF('СРОКИ'!CU10='СРОКИ'!$B$9,'Выход'!$B$7,0)</f>
        <v/>
      </c>
      <c r="CV14" s="47">
        <f>IF('СРОКИ'!CV10='СРОКИ'!$B$9,'Выход'!$B$7,0)</f>
        <v/>
      </c>
      <c r="CW14" s="47">
        <f>IF('СРОКИ'!CW10='СРОКИ'!$B$9,'Выход'!$B$7,0)</f>
        <v/>
      </c>
      <c r="CX14" s="47">
        <f>IF('СРОКИ'!CX10='СРОКИ'!$B$9,'Выход'!$B$7,0)</f>
        <v/>
      </c>
      <c r="CY14" s="47">
        <f>IF('СРОКИ'!CY10='СРОКИ'!$B$9,'Выход'!$B$7,0)</f>
        <v/>
      </c>
      <c r="CZ14" s="47">
        <f>IF('СРОКИ'!CZ10='СРОКИ'!$B$9,'Выход'!$B$7,0)</f>
        <v/>
      </c>
      <c r="DA14" s="47">
        <f>IF('СРОКИ'!DA10='СРОКИ'!$B$9,'Выход'!$B$7,0)</f>
        <v/>
      </c>
      <c r="DB14" s="47">
        <f>IF('СРОКИ'!DB10='СРОКИ'!$B$9,'Выход'!$B$7,0)</f>
        <v/>
      </c>
      <c r="DC14" s="47">
        <f>IF('СРОКИ'!DC10='СРОКИ'!$B$9,'Выход'!$B$7,0)</f>
        <v/>
      </c>
      <c r="DD14" s="47">
        <f>IF('СРОКИ'!DD10='СРОКИ'!$B$9,'Выход'!$B$7,0)</f>
        <v/>
      </c>
      <c r="DE14" s="47">
        <f>IF('СРОКИ'!DE10='СРОКИ'!$B$9,'Выход'!$B$7,0)</f>
        <v/>
      </c>
      <c r="DF14" s="47">
        <f>IF('СРОКИ'!DF10='СРОКИ'!$B$9,'Выход'!$B$7,0)</f>
        <v/>
      </c>
      <c r="DG14" s="47">
        <f>IF('СРОКИ'!DG10='СРОКИ'!$B$9,'Выход'!$B$7,0)</f>
        <v/>
      </c>
      <c r="DH14" s="47">
        <f>IF('СРОКИ'!DH10='СРОКИ'!$B$9,'Выход'!$B$7,0)</f>
        <v/>
      </c>
      <c r="DI14" s="47">
        <f>IF('СРОКИ'!DI10='СРОКИ'!$B$9,'Выход'!$B$7,0)</f>
        <v/>
      </c>
      <c r="DJ14" s="47">
        <f>IF('СРОКИ'!DJ10='СРОКИ'!$B$9,'Выход'!$B$7,0)</f>
        <v/>
      </c>
      <c r="DK14" s="47">
        <f>IF('СРОКИ'!DK10='СРОКИ'!$B$9,'Выход'!$B$7,0)</f>
        <v/>
      </c>
      <c r="DL14" s="47">
        <f>IF('СРОКИ'!DL10='СРОКИ'!$B$9,'Выход'!$B$7,0)</f>
        <v/>
      </c>
      <c r="DM14" s="47">
        <f>IF('СРОКИ'!DM10='СРОКИ'!$B$9,'Выход'!$B$7,0)</f>
        <v/>
      </c>
    </row>
  </sheetData>
  <pageMargins left="0.75" right="0.75" top="1" bottom="1" header="0.5" footer="0.5"/>
  <pageSetup orientation="landscape" scale="52" fitToHeight="0" fitToWidth="1"/>
  <colBreaks count="9" manualBreakCount="9">
    <brk id="15" min="0" max="16383" man="1"/>
    <brk id="27" min="0" max="16383" man="1"/>
    <brk id="39" min="0" max="16383" man="1"/>
    <brk id="51" min="0" max="16383" man="1"/>
    <brk id="63" min="0" max="16383" man="1"/>
    <brk id="75" min="0" max="16383" man="1"/>
    <brk id="87" min="0" max="16383" man="1"/>
    <brk id="99" min="0" max="16383" man="1"/>
    <brk id="111" min="0" max="16383" man="1"/>
  </colBreaks>
</worksheet>
</file>

<file path=xl/worksheets/sheet10.xml><?xml version="1.0" encoding="utf-8"?>
<worksheet xmlns="http://schemas.openxmlformats.org/spreadsheetml/2006/main">
  <sheetPr>
    <tabColor rgb="00C26A0A"/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4" customWidth="1" min="3" max="3"/>
  </cols>
  <sheetData>
    <row r="1">
      <c r="A1" s="1" t="inlineStr">
        <is>
          <t>ПУТЬ 2 · ПРОДАЖА ЗДАНИЯ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Стоимость = NOI следующего года / ставка капитализации.</t>
        </is>
      </c>
    </row>
    <row r="4">
      <c r="A4" t="inlineStr">
        <is>
          <t>NOI следующих 12 месяцев после срока удержания</t>
        </is>
      </c>
      <c r="B4" s="26">
        <f>'Аренда'!B12-'CAPEX'!$B$8*'Вводные'!$B$52</f>
        <v/>
      </c>
      <c r="C4" s="3" t="inlineStr">
        <is>
          <t>млн ₽</t>
        </is>
      </c>
    </row>
    <row r="5">
      <c r="A5" t="inlineStr">
        <is>
          <t>Ставка капитализации</t>
        </is>
      </c>
      <c r="B5" s="28">
        <f>'Вводные'!$F$35</f>
        <v/>
      </c>
      <c r="C5" s="3" t="inlineStr"/>
    </row>
    <row r="6">
      <c r="A6" t="inlineStr">
        <is>
          <t>Стоимость здания</t>
        </is>
      </c>
      <c r="B6" s="26">
        <f>'Выход'!$B$4/'Выход'!$B$5</f>
        <v/>
      </c>
      <c r="C6" s="3" t="inlineStr">
        <is>
          <t>млн ₽</t>
        </is>
      </c>
    </row>
    <row r="7">
      <c r="A7" t="inlineStr">
        <is>
          <t>Расходы на сделку</t>
        </is>
      </c>
      <c r="B7" s="26">
        <f>'Выход'!$B$6*'Вводные'!$B$51</f>
        <v/>
      </c>
      <c r="C7" s="3" t="inlineStr">
        <is>
          <t>млн ₽</t>
        </is>
      </c>
    </row>
    <row r="8">
      <c r="A8" t="inlineStr">
        <is>
          <t>Получено от продажи здания</t>
        </is>
      </c>
      <c r="B8" s="26">
        <f>'Выход'!$B$6-'Выход'!$B$7</f>
        <v/>
      </c>
      <c r="C8" s="3" t="inlineStr">
        <is>
          <t>млн ₽</t>
        </is>
      </c>
    </row>
    <row r="9">
      <c r="A9" t="inlineStr">
        <is>
          <t>NOI года после заполнения</t>
        </is>
      </c>
      <c r="B9" s="26">
        <f>SUMPRODUCT(('СРОКИ'!D14:DM14&gt;='Вводные'!$F$33)*('СРОКИ'!D14:DM14&lt;='Вводные'!$F$33+11)*'Аренда'!D7:DM7)*(1-'Вводные'!$F$34)-'CAPEX'!$B$8*'Вводные'!$B$52</f>
        <v/>
      </c>
      <c r="C9" s="3" t="inlineStr">
        <is>
          <t>млн ₽</t>
        </is>
      </c>
    </row>
    <row r="10">
      <c r="A10" t="inlineStr">
        <is>
          <t>Доходность на затраты = NOI года после заполнения / все затраты</t>
        </is>
      </c>
      <c r="B10" s="28">
        <f>'Выход'!$B$9/'CAPEX'!$B$9</f>
        <v/>
      </c>
      <c r="C10" s="3" t="inlineStr"/>
    </row>
    <row r="11">
      <c r="A11" t="inlineStr">
        <is>
          <t>Доходность на затраты минус ставка капитализации</t>
        </is>
      </c>
      <c r="B11" s="28">
        <f>'Выход'!$B$10-'Выход'!$B$5</f>
        <v/>
      </c>
      <c r="C11" s="3" t="inlineStr"/>
    </row>
    <row r="13">
      <c r="A13" s="20" t="inlineStr">
        <is>
          <t>Меньше нуля — готовое здание стоит дешевле, чем его стройка: строить, чтобы сдавать, невыгодно.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2F6DB5"/>
    <outlinePr summaryBelow="1" summaryRight="1"/>
    <pageSetUpPr fitToPage="0"/>
  </sheetPr>
  <dimension ref="A1:DN4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</cols>
  <sheetData>
    <row r="1">
      <c r="A1" s="1" t="inlineStr">
        <is>
          <t>CF_ПРОДАЖА · НДС, КРЕДИТ, ДЕНЬГИ СОБСТВЕННИКА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</row>
    <row r="2">
      <c r="A2" s="3" t="inlineStr">
        <is>
          <t>Кредит: выборка — доля затрат до ввода; проценты до ввода капитализируются; после ввода — погашение.</t>
        </is>
      </c>
    </row>
    <row r="3">
      <c r="A3" s="9" t="inlineStr">
        <is>
          <t>Показатель</t>
        </is>
      </c>
      <c r="B3" s="9" t="inlineStr">
        <is>
          <t>Итого / вводная</t>
        </is>
      </c>
      <c r="C3" s="9" t="inlineStr">
        <is>
          <t>Ед.</t>
        </is>
      </c>
      <c r="D3" s="34">
        <f>СРОКИ!D3</f>
        <v/>
      </c>
      <c r="E3" s="34">
        <f>СРОКИ!E3</f>
        <v/>
      </c>
      <c r="F3" s="34">
        <f>СРОКИ!F3</f>
        <v/>
      </c>
      <c r="G3" s="34">
        <f>СРОКИ!G3</f>
        <v/>
      </c>
      <c r="H3" s="34">
        <f>СРОКИ!H3</f>
        <v/>
      </c>
      <c r="I3" s="34">
        <f>СРОКИ!I3</f>
        <v/>
      </c>
      <c r="J3" s="34">
        <f>СРОКИ!J3</f>
        <v/>
      </c>
      <c r="K3" s="34">
        <f>СРОКИ!K3</f>
        <v/>
      </c>
      <c r="L3" s="34">
        <f>СРОКИ!L3</f>
        <v/>
      </c>
      <c r="M3" s="34">
        <f>СРОКИ!M3</f>
        <v/>
      </c>
      <c r="N3" s="34">
        <f>СРОКИ!N3</f>
        <v/>
      </c>
      <c r="O3" s="34">
        <f>СРОКИ!O3</f>
        <v/>
      </c>
      <c r="P3" s="34">
        <f>СРОКИ!P3</f>
        <v/>
      </c>
      <c r="Q3" s="34">
        <f>СРОКИ!Q3</f>
        <v/>
      </c>
      <c r="R3" s="34">
        <f>СРОКИ!R3</f>
        <v/>
      </c>
      <c r="S3" s="34">
        <f>СРОКИ!S3</f>
        <v/>
      </c>
      <c r="T3" s="34">
        <f>СРОКИ!T3</f>
        <v/>
      </c>
      <c r="U3" s="34">
        <f>СРОКИ!U3</f>
        <v/>
      </c>
      <c r="V3" s="34">
        <f>СРОКИ!V3</f>
        <v/>
      </c>
      <c r="W3" s="34">
        <f>СРОКИ!W3</f>
        <v/>
      </c>
      <c r="X3" s="34">
        <f>СРОКИ!X3</f>
        <v/>
      </c>
      <c r="Y3" s="34">
        <f>СРОКИ!Y3</f>
        <v/>
      </c>
      <c r="Z3" s="34">
        <f>СРОКИ!Z3</f>
        <v/>
      </c>
      <c r="AA3" s="34">
        <f>СРОКИ!AA3</f>
        <v/>
      </c>
      <c r="AB3" s="34">
        <f>СРОКИ!AB3</f>
        <v/>
      </c>
      <c r="AC3" s="34">
        <f>СРОКИ!AC3</f>
        <v/>
      </c>
      <c r="AD3" s="34">
        <f>СРОКИ!AD3</f>
        <v/>
      </c>
      <c r="AE3" s="34">
        <f>СРОКИ!AE3</f>
        <v/>
      </c>
      <c r="AF3" s="34">
        <f>СРОКИ!AF3</f>
        <v/>
      </c>
      <c r="AG3" s="34">
        <f>СРОКИ!AG3</f>
        <v/>
      </c>
      <c r="AH3" s="34">
        <f>СРОКИ!AH3</f>
        <v/>
      </c>
      <c r="AI3" s="34">
        <f>СРОКИ!AI3</f>
        <v/>
      </c>
      <c r="AJ3" s="34">
        <f>СРОКИ!AJ3</f>
        <v/>
      </c>
      <c r="AK3" s="34">
        <f>СРОКИ!AK3</f>
        <v/>
      </c>
      <c r="AL3" s="34">
        <f>СРОКИ!AL3</f>
        <v/>
      </c>
      <c r="AM3" s="34">
        <f>СРОКИ!AM3</f>
        <v/>
      </c>
      <c r="AN3" s="34">
        <f>СРОКИ!AN3</f>
        <v/>
      </c>
      <c r="AO3" s="34">
        <f>СРОКИ!AO3</f>
        <v/>
      </c>
      <c r="AP3" s="34">
        <f>СРОКИ!AP3</f>
        <v/>
      </c>
      <c r="AQ3" s="34">
        <f>СРОКИ!AQ3</f>
        <v/>
      </c>
      <c r="AR3" s="34">
        <f>СРОКИ!AR3</f>
        <v/>
      </c>
      <c r="AS3" s="34">
        <f>СРОКИ!AS3</f>
        <v/>
      </c>
      <c r="AT3" s="34">
        <f>СРОКИ!AT3</f>
        <v/>
      </c>
      <c r="AU3" s="34">
        <f>СРОКИ!AU3</f>
        <v/>
      </c>
      <c r="AV3" s="34">
        <f>СРОКИ!AV3</f>
        <v/>
      </c>
      <c r="AW3" s="34">
        <f>СРОКИ!AW3</f>
        <v/>
      </c>
      <c r="AX3" s="34">
        <f>СРОКИ!AX3</f>
        <v/>
      </c>
      <c r="AY3" s="34">
        <f>СРОКИ!AY3</f>
        <v/>
      </c>
      <c r="AZ3" s="34">
        <f>СРОКИ!AZ3</f>
        <v/>
      </c>
      <c r="BA3" s="34">
        <f>СРОКИ!BA3</f>
        <v/>
      </c>
      <c r="BB3" s="34">
        <f>СРОКИ!BB3</f>
        <v/>
      </c>
      <c r="BC3" s="34">
        <f>СРОКИ!BC3</f>
        <v/>
      </c>
      <c r="BD3" s="34">
        <f>СРОКИ!BD3</f>
        <v/>
      </c>
      <c r="BE3" s="34">
        <f>СРОКИ!BE3</f>
        <v/>
      </c>
      <c r="BF3" s="34">
        <f>СРОКИ!BF3</f>
        <v/>
      </c>
      <c r="BG3" s="34">
        <f>СРОКИ!BG3</f>
        <v/>
      </c>
      <c r="BH3" s="34">
        <f>СРОКИ!BH3</f>
        <v/>
      </c>
      <c r="BI3" s="34">
        <f>СРОКИ!BI3</f>
        <v/>
      </c>
      <c r="BJ3" s="34">
        <f>СРОКИ!BJ3</f>
        <v/>
      </c>
      <c r="BK3" s="34">
        <f>СРОКИ!BK3</f>
        <v/>
      </c>
      <c r="BL3" s="34">
        <f>СРОКИ!BL3</f>
        <v/>
      </c>
      <c r="BM3" s="34">
        <f>СРОКИ!BM3</f>
        <v/>
      </c>
      <c r="BN3" s="34">
        <f>СРОКИ!BN3</f>
        <v/>
      </c>
      <c r="BO3" s="34">
        <f>СРОКИ!BO3</f>
        <v/>
      </c>
      <c r="BP3" s="34">
        <f>СРОКИ!BP3</f>
        <v/>
      </c>
      <c r="BQ3" s="34">
        <f>СРОКИ!BQ3</f>
        <v/>
      </c>
      <c r="BR3" s="34">
        <f>СРОКИ!BR3</f>
        <v/>
      </c>
      <c r="BS3" s="34">
        <f>СРОКИ!BS3</f>
        <v/>
      </c>
      <c r="BT3" s="34">
        <f>СРОКИ!BT3</f>
        <v/>
      </c>
      <c r="BU3" s="34">
        <f>СРОКИ!BU3</f>
        <v/>
      </c>
      <c r="BV3" s="34">
        <f>СРОКИ!BV3</f>
        <v/>
      </c>
      <c r="BW3" s="34">
        <f>СРОКИ!BW3</f>
        <v/>
      </c>
      <c r="BX3" s="34">
        <f>СРОКИ!BX3</f>
        <v/>
      </c>
      <c r="BY3" s="34">
        <f>СРОКИ!BY3</f>
        <v/>
      </c>
      <c r="BZ3" s="34">
        <f>СРОКИ!BZ3</f>
        <v/>
      </c>
      <c r="CA3" s="34">
        <f>СРОКИ!CA3</f>
        <v/>
      </c>
      <c r="CB3" s="34">
        <f>СРОКИ!CB3</f>
        <v/>
      </c>
      <c r="CC3" s="34">
        <f>СРОКИ!CC3</f>
        <v/>
      </c>
      <c r="CD3" s="34">
        <f>СРОКИ!CD3</f>
        <v/>
      </c>
      <c r="CE3" s="34">
        <f>СРОКИ!CE3</f>
        <v/>
      </c>
      <c r="CF3" s="34">
        <f>СРОКИ!CF3</f>
        <v/>
      </c>
      <c r="CG3" s="34">
        <f>СРОКИ!CG3</f>
        <v/>
      </c>
      <c r="CH3" s="34">
        <f>СРОКИ!CH3</f>
        <v/>
      </c>
      <c r="CI3" s="34">
        <f>СРОКИ!CI3</f>
        <v/>
      </c>
      <c r="CJ3" s="34">
        <f>СРОКИ!CJ3</f>
        <v/>
      </c>
      <c r="CK3" s="34">
        <f>СРОКИ!CK3</f>
        <v/>
      </c>
      <c r="CL3" s="34">
        <f>СРОКИ!CL3</f>
        <v/>
      </c>
      <c r="CM3" s="34">
        <f>СРОКИ!CM3</f>
        <v/>
      </c>
      <c r="CN3" s="34">
        <f>СРОКИ!CN3</f>
        <v/>
      </c>
      <c r="CO3" s="34">
        <f>СРОКИ!CO3</f>
        <v/>
      </c>
      <c r="CP3" s="34">
        <f>СРОКИ!CP3</f>
        <v/>
      </c>
      <c r="CQ3" s="34">
        <f>СРОКИ!CQ3</f>
        <v/>
      </c>
      <c r="CR3" s="34">
        <f>СРОКИ!CR3</f>
        <v/>
      </c>
      <c r="CS3" s="34">
        <f>СРОКИ!CS3</f>
        <v/>
      </c>
      <c r="CT3" s="34">
        <f>СРОКИ!CT3</f>
        <v/>
      </c>
      <c r="CU3" s="34">
        <f>СРОКИ!CU3</f>
        <v/>
      </c>
      <c r="CV3" s="34">
        <f>СРОКИ!CV3</f>
        <v/>
      </c>
      <c r="CW3" s="34">
        <f>СРОКИ!CW3</f>
        <v/>
      </c>
      <c r="CX3" s="34">
        <f>СРОКИ!CX3</f>
        <v/>
      </c>
      <c r="CY3" s="34">
        <f>СРОКИ!CY3</f>
        <v/>
      </c>
      <c r="CZ3" s="34">
        <f>СРОКИ!CZ3</f>
        <v/>
      </c>
      <c r="DA3" s="34">
        <f>СРОКИ!DA3</f>
        <v/>
      </c>
      <c r="DB3" s="34">
        <f>СРОКИ!DB3</f>
        <v/>
      </c>
      <c r="DC3" s="34">
        <f>СРОКИ!DC3</f>
        <v/>
      </c>
      <c r="DD3" s="34">
        <f>СРОКИ!DD3</f>
        <v/>
      </c>
      <c r="DE3" s="34">
        <f>СРОКИ!DE3</f>
        <v/>
      </c>
      <c r="DF3" s="34">
        <f>СРОКИ!DF3</f>
        <v/>
      </c>
      <c r="DG3" s="34">
        <f>СРОКИ!DG3</f>
        <v/>
      </c>
      <c r="DH3" s="34">
        <f>СРОКИ!DH3</f>
        <v/>
      </c>
      <c r="DI3" s="34">
        <f>СРОКИ!DI3</f>
        <v/>
      </c>
      <c r="DJ3" s="34">
        <f>СРОКИ!DJ3</f>
        <v/>
      </c>
      <c r="DK3" s="34">
        <f>СРОКИ!DK3</f>
        <v/>
      </c>
      <c r="DL3" s="34">
        <f>СРОКИ!DL3</f>
        <v/>
      </c>
      <c r="DM3" s="34">
        <f>СРОКИ!DM3</f>
        <v/>
      </c>
    </row>
    <row r="4">
      <c r="A4" t="inlineStr">
        <is>
          <t>Период</t>
        </is>
      </c>
      <c r="C4" t="inlineStr">
        <is>
          <t>№</t>
        </is>
      </c>
      <c r="D4" s="35" t="n">
        <v>0</v>
      </c>
      <c r="E4" s="35" t="n">
        <v>1</v>
      </c>
      <c r="F4" s="35" t="n">
        <v>2</v>
      </c>
      <c r="G4" s="35" t="n">
        <v>3</v>
      </c>
      <c r="H4" s="35" t="n">
        <v>4</v>
      </c>
      <c r="I4" s="35" t="n">
        <v>5</v>
      </c>
      <c r="J4" s="35" t="n">
        <v>6</v>
      </c>
      <c r="K4" s="35" t="n">
        <v>7</v>
      </c>
      <c r="L4" s="35" t="n">
        <v>8</v>
      </c>
      <c r="M4" s="35" t="n">
        <v>9</v>
      </c>
      <c r="N4" s="35" t="n">
        <v>10</v>
      </c>
      <c r="O4" s="35" t="n">
        <v>11</v>
      </c>
      <c r="P4" s="35" t="n">
        <v>12</v>
      </c>
      <c r="Q4" s="35" t="n">
        <v>13</v>
      </c>
      <c r="R4" s="35" t="n">
        <v>14</v>
      </c>
      <c r="S4" s="35" t="n">
        <v>15</v>
      </c>
      <c r="T4" s="35" t="n">
        <v>16</v>
      </c>
      <c r="U4" s="35" t="n">
        <v>17</v>
      </c>
      <c r="V4" s="35" t="n">
        <v>18</v>
      </c>
      <c r="W4" s="35" t="n">
        <v>19</v>
      </c>
      <c r="X4" s="35" t="n">
        <v>20</v>
      </c>
      <c r="Y4" s="35" t="n">
        <v>21</v>
      </c>
      <c r="Z4" s="35" t="n">
        <v>22</v>
      </c>
      <c r="AA4" s="35" t="n">
        <v>23</v>
      </c>
      <c r="AB4" s="35" t="n">
        <v>24</v>
      </c>
      <c r="AC4" s="35" t="n">
        <v>25</v>
      </c>
      <c r="AD4" s="35" t="n">
        <v>26</v>
      </c>
      <c r="AE4" s="35" t="n">
        <v>27</v>
      </c>
      <c r="AF4" s="35" t="n">
        <v>28</v>
      </c>
      <c r="AG4" s="35" t="n">
        <v>29</v>
      </c>
      <c r="AH4" s="35" t="n">
        <v>30</v>
      </c>
      <c r="AI4" s="35" t="n">
        <v>31</v>
      </c>
      <c r="AJ4" s="35" t="n">
        <v>32</v>
      </c>
      <c r="AK4" s="35" t="n">
        <v>33</v>
      </c>
      <c r="AL4" s="35" t="n">
        <v>34</v>
      </c>
      <c r="AM4" s="35" t="n">
        <v>35</v>
      </c>
      <c r="AN4" s="35" t="n">
        <v>36</v>
      </c>
      <c r="AO4" s="35" t="n">
        <v>37</v>
      </c>
      <c r="AP4" s="35" t="n">
        <v>38</v>
      </c>
      <c r="AQ4" s="35" t="n">
        <v>39</v>
      </c>
      <c r="AR4" s="35" t="n">
        <v>40</v>
      </c>
      <c r="AS4" s="35" t="n">
        <v>41</v>
      </c>
      <c r="AT4" s="35" t="n">
        <v>42</v>
      </c>
      <c r="AU4" s="35" t="n">
        <v>43</v>
      </c>
      <c r="AV4" s="35" t="n">
        <v>44</v>
      </c>
      <c r="AW4" s="35" t="n">
        <v>45</v>
      </c>
      <c r="AX4" s="35" t="n">
        <v>46</v>
      </c>
      <c r="AY4" s="35" t="n">
        <v>47</v>
      </c>
      <c r="AZ4" s="35" t="n">
        <v>48</v>
      </c>
      <c r="BA4" s="35" t="n">
        <v>49</v>
      </c>
      <c r="BB4" s="35" t="n">
        <v>50</v>
      </c>
      <c r="BC4" s="35" t="n">
        <v>51</v>
      </c>
      <c r="BD4" s="35" t="n">
        <v>52</v>
      </c>
      <c r="BE4" s="35" t="n">
        <v>53</v>
      </c>
      <c r="BF4" s="35" t="n">
        <v>54</v>
      </c>
      <c r="BG4" s="35" t="n">
        <v>55</v>
      </c>
      <c r="BH4" s="35" t="n">
        <v>56</v>
      </c>
      <c r="BI4" s="35" t="n">
        <v>57</v>
      </c>
      <c r="BJ4" s="35" t="n">
        <v>58</v>
      </c>
      <c r="BK4" s="35" t="n">
        <v>59</v>
      </c>
      <c r="BL4" s="35" t="n">
        <v>60</v>
      </c>
      <c r="BM4" s="35" t="n">
        <v>61</v>
      </c>
      <c r="BN4" s="35" t="n">
        <v>62</v>
      </c>
      <c r="BO4" s="35" t="n">
        <v>63</v>
      </c>
      <c r="BP4" s="35" t="n">
        <v>64</v>
      </c>
      <c r="BQ4" s="35" t="n">
        <v>65</v>
      </c>
      <c r="BR4" s="35" t="n">
        <v>66</v>
      </c>
      <c r="BS4" s="35" t="n">
        <v>67</v>
      </c>
      <c r="BT4" s="35" t="n">
        <v>68</v>
      </c>
      <c r="BU4" s="35" t="n">
        <v>69</v>
      </c>
      <c r="BV4" s="35" t="n">
        <v>70</v>
      </c>
      <c r="BW4" s="35" t="n">
        <v>71</v>
      </c>
      <c r="BX4" s="35" t="n">
        <v>72</v>
      </c>
      <c r="BY4" s="35" t="n">
        <v>73</v>
      </c>
      <c r="BZ4" s="35" t="n">
        <v>74</v>
      </c>
      <c r="CA4" s="35" t="n">
        <v>75</v>
      </c>
      <c r="CB4" s="35" t="n">
        <v>76</v>
      </c>
      <c r="CC4" s="35" t="n">
        <v>77</v>
      </c>
      <c r="CD4" s="35" t="n">
        <v>78</v>
      </c>
      <c r="CE4" s="35" t="n">
        <v>79</v>
      </c>
      <c r="CF4" s="35" t="n">
        <v>80</v>
      </c>
      <c r="CG4" s="35" t="n">
        <v>81</v>
      </c>
      <c r="CH4" s="35" t="n">
        <v>82</v>
      </c>
      <c r="CI4" s="35" t="n">
        <v>83</v>
      </c>
      <c r="CJ4" s="35" t="n">
        <v>84</v>
      </c>
      <c r="CK4" s="35" t="n">
        <v>85</v>
      </c>
      <c r="CL4" s="35" t="n">
        <v>86</v>
      </c>
      <c r="CM4" s="35" t="n">
        <v>87</v>
      </c>
      <c r="CN4" s="35" t="n">
        <v>88</v>
      </c>
      <c r="CO4" s="35" t="n">
        <v>89</v>
      </c>
      <c r="CP4" s="35" t="n">
        <v>90</v>
      </c>
      <c r="CQ4" s="35" t="n">
        <v>91</v>
      </c>
      <c r="CR4" s="35" t="n">
        <v>92</v>
      </c>
      <c r="CS4" s="35" t="n">
        <v>93</v>
      </c>
      <c r="CT4" s="35" t="n">
        <v>94</v>
      </c>
      <c r="CU4" s="35" t="n">
        <v>95</v>
      </c>
      <c r="CV4" s="35" t="n">
        <v>96</v>
      </c>
      <c r="CW4" s="35" t="n">
        <v>97</v>
      </c>
      <c r="CX4" s="35" t="n">
        <v>98</v>
      </c>
      <c r="CY4" s="35" t="n">
        <v>99</v>
      </c>
      <c r="CZ4" s="35" t="n">
        <v>100</v>
      </c>
      <c r="DA4" s="35" t="n">
        <v>101</v>
      </c>
      <c r="DB4" s="35" t="n">
        <v>102</v>
      </c>
      <c r="DC4" s="35" t="n">
        <v>103</v>
      </c>
      <c r="DD4" s="35" t="n">
        <v>104</v>
      </c>
      <c r="DE4" s="35" t="n">
        <v>105</v>
      </c>
      <c r="DF4" s="35" t="n">
        <v>106</v>
      </c>
      <c r="DG4" s="35" t="n">
        <v>107</v>
      </c>
      <c r="DH4" s="35" t="n">
        <v>108</v>
      </c>
      <c r="DI4" s="35" t="n">
        <v>109</v>
      </c>
      <c r="DJ4" s="35" t="n">
        <v>110</v>
      </c>
      <c r="DK4" s="35" t="n">
        <v>111</v>
      </c>
      <c r="DL4" s="35" t="n">
        <v>112</v>
      </c>
      <c r="DM4" s="35" t="n">
        <v>113</v>
      </c>
    </row>
    <row r="5">
      <c r="A5" t="inlineStr">
        <is>
          <t>Последний месяц пути</t>
        </is>
      </c>
      <c r="B5" s="30">
        <f>'СРОКИ'!$B$7</f>
        <v/>
      </c>
      <c r="C5" s="3" t="inlineStr">
        <is>
          <t>№</t>
        </is>
      </c>
    </row>
    <row r="6">
      <c r="A6" s="36" t="inlineStr">
        <is>
          <t>Месяц пути</t>
        </is>
      </c>
      <c r="B6" s="10" t="n"/>
      <c r="C6" s="37" t="inlineStr">
        <is>
          <t>0/1</t>
        </is>
      </c>
      <c r="D6" s="38">
        <f>IF('СРОКИ'!D10&lt;='CF_Продажа'!$B$5,1,0)</f>
        <v/>
      </c>
      <c r="E6" s="38">
        <f>IF('СРОКИ'!E10&lt;='CF_Продажа'!$B$5,1,0)</f>
        <v/>
      </c>
      <c r="F6" s="38">
        <f>IF('СРОКИ'!F10&lt;='CF_Продажа'!$B$5,1,0)</f>
        <v/>
      </c>
      <c r="G6" s="38">
        <f>IF('СРОКИ'!G10&lt;='CF_Продажа'!$B$5,1,0)</f>
        <v/>
      </c>
      <c r="H6" s="38">
        <f>IF('СРОКИ'!H10&lt;='CF_Продажа'!$B$5,1,0)</f>
        <v/>
      </c>
      <c r="I6" s="38">
        <f>IF('СРОКИ'!I10&lt;='CF_Продажа'!$B$5,1,0)</f>
        <v/>
      </c>
      <c r="J6" s="38">
        <f>IF('СРОКИ'!J10&lt;='CF_Продажа'!$B$5,1,0)</f>
        <v/>
      </c>
      <c r="K6" s="38">
        <f>IF('СРОКИ'!K10&lt;='CF_Продажа'!$B$5,1,0)</f>
        <v/>
      </c>
      <c r="L6" s="38">
        <f>IF('СРОКИ'!L10&lt;='CF_Продажа'!$B$5,1,0)</f>
        <v/>
      </c>
      <c r="M6" s="38">
        <f>IF('СРОКИ'!M10&lt;='CF_Продажа'!$B$5,1,0)</f>
        <v/>
      </c>
      <c r="N6" s="38">
        <f>IF('СРОКИ'!N10&lt;='CF_Продажа'!$B$5,1,0)</f>
        <v/>
      </c>
      <c r="O6" s="38">
        <f>IF('СРОКИ'!O10&lt;='CF_Продажа'!$B$5,1,0)</f>
        <v/>
      </c>
      <c r="P6" s="38">
        <f>IF('СРОКИ'!P10&lt;='CF_Продажа'!$B$5,1,0)</f>
        <v/>
      </c>
      <c r="Q6" s="38">
        <f>IF('СРОКИ'!Q10&lt;='CF_Продажа'!$B$5,1,0)</f>
        <v/>
      </c>
      <c r="R6" s="38">
        <f>IF('СРОКИ'!R10&lt;='CF_Продажа'!$B$5,1,0)</f>
        <v/>
      </c>
      <c r="S6" s="38">
        <f>IF('СРОКИ'!S10&lt;='CF_Продажа'!$B$5,1,0)</f>
        <v/>
      </c>
      <c r="T6" s="38">
        <f>IF('СРОКИ'!T10&lt;='CF_Продажа'!$B$5,1,0)</f>
        <v/>
      </c>
      <c r="U6" s="38">
        <f>IF('СРОКИ'!U10&lt;='CF_Продажа'!$B$5,1,0)</f>
        <v/>
      </c>
      <c r="V6" s="38">
        <f>IF('СРОКИ'!V10&lt;='CF_Продажа'!$B$5,1,0)</f>
        <v/>
      </c>
      <c r="W6" s="38">
        <f>IF('СРОКИ'!W10&lt;='CF_Продажа'!$B$5,1,0)</f>
        <v/>
      </c>
      <c r="X6" s="38">
        <f>IF('СРОКИ'!X10&lt;='CF_Продажа'!$B$5,1,0)</f>
        <v/>
      </c>
      <c r="Y6" s="38">
        <f>IF('СРОКИ'!Y10&lt;='CF_Продажа'!$B$5,1,0)</f>
        <v/>
      </c>
      <c r="Z6" s="38">
        <f>IF('СРОКИ'!Z10&lt;='CF_Продажа'!$B$5,1,0)</f>
        <v/>
      </c>
      <c r="AA6" s="38">
        <f>IF('СРОКИ'!AA10&lt;='CF_Продажа'!$B$5,1,0)</f>
        <v/>
      </c>
      <c r="AB6" s="38">
        <f>IF('СРОКИ'!AB10&lt;='CF_Продажа'!$B$5,1,0)</f>
        <v/>
      </c>
      <c r="AC6" s="38">
        <f>IF('СРОКИ'!AC10&lt;='CF_Продажа'!$B$5,1,0)</f>
        <v/>
      </c>
      <c r="AD6" s="38">
        <f>IF('СРОКИ'!AD10&lt;='CF_Продажа'!$B$5,1,0)</f>
        <v/>
      </c>
      <c r="AE6" s="38">
        <f>IF('СРОКИ'!AE10&lt;='CF_Продажа'!$B$5,1,0)</f>
        <v/>
      </c>
      <c r="AF6" s="38">
        <f>IF('СРОКИ'!AF10&lt;='CF_Продажа'!$B$5,1,0)</f>
        <v/>
      </c>
      <c r="AG6" s="38">
        <f>IF('СРОКИ'!AG10&lt;='CF_Продажа'!$B$5,1,0)</f>
        <v/>
      </c>
      <c r="AH6" s="38">
        <f>IF('СРОКИ'!AH10&lt;='CF_Продажа'!$B$5,1,0)</f>
        <v/>
      </c>
      <c r="AI6" s="38">
        <f>IF('СРОКИ'!AI10&lt;='CF_Продажа'!$B$5,1,0)</f>
        <v/>
      </c>
      <c r="AJ6" s="38">
        <f>IF('СРОКИ'!AJ10&lt;='CF_Продажа'!$B$5,1,0)</f>
        <v/>
      </c>
      <c r="AK6" s="38">
        <f>IF('СРОКИ'!AK10&lt;='CF_Продажа'!$B$5,1,0)</f>
        <v/>
      </c>
      <c r="AL6" s="38">
        <f>IF('СРОКИ'!AL10&lt;='CF_Продажа'!$B$5,1,0)</f>
        <v/>
      </c>
      <c r="AM6" s="38">
        <f>IF('СРОКИ'!AM10&lt;='CF_Продажа'!$B$5,1,0)</f>
        <v/>
      </c>
      <c r="AN6" s="38">
        <f>IF('СРОКИ'!AN10&lt;='CF_Продажа'!$B$5,1,0)</f>
        <v/>
      </c>
      <c r="AO6" s="38">
        <f>IF('СРОКИ'!AO10&lt;='CF_Продажа'!$B$5,1,0)</f>
        <v/>
      </c>
      <c r="AP6" s="38">
        <f>IF('СРОКИ'!AP10&lt;='CF_Продажа'!$B$5,1,0)</f>
        <v/>
      </c>
      <c r="AQ6" s="38">
        <f>IF('СРОКИ'!AQ10&lt;='CF_Продажа'!$B$5,1,0)</f>
        <v/>
      </c>
      <c r="AR6" s="38">
        <f>IF('СРОКИ'!AR10&lt;='CF_Продажа'!$B$5,1,0)</f>
        <v/>
      </c>
      <c r="AS6" s="38">
        <f>IF('СРОКИ'!AS10&lt;='CF_Продажа'!$B$5,1,0)</f>
        <v/>
      </c>
      <c r="AT6" s="38">
        <f>IF('СРОКИ'!AT10&lt;='CF_Продажа'!$B$5,1,0)</f>
        <v/>
      </c>
      <c r="AU6" s="38">
        <f>IF('СРОКИ'!AU10&lt;='CF_Продажа'!$B$5,1,0)</f>
        <v/>
      </c>
      <c r="AV6" s="38">
        <f>IF('СРОКИ'!AV10&lt;='CF_Продажа'!$B$5,1,0)</f>
        <v/>
      </c>
      <c r="AW6" s="38">
        <f>IF('СРОКИ'!AW10&lt;='CF_Продажа'!$B$5,1,0)</f>
        <v/>
      </c>
      <c r="AX6" s="38">
        <f>IF('СРОКИ'!AX10&lt;='CF_Продажа'!$B$5,1,0)</f>
        <v/>
      </c>
      <c r="AY6" s="38">
        <f>IF('СРОКИ'!AY10&lt;='CF_Продажа'!$B$5,1,0)</f>
        <v/>
      </c>
      <c r="AZ6" s="38">
        <f>IF('СРОКИ'!AZ10&lt;='CF_Продажа'!$B$5,1,0)</f>
        <v/>
      </c>
      <c r="BA6" s="38">
        <f>IF('СРОКИ'!BA10&lt;='CF_Продажа'!$B$5,1,0)</f>
        <v/>
      </c>
      <c r="BB6" s="38">
        <f>IF('СРОКИ'!BB10&lt;='CF_Продажа'!$B$5,1,0)</f>
        <v/>
      </c>
      <c r="BC6" s="38">
        <f>IF('СРОКИ'!BC10&lt;='CF_Продажа'!$B$5,1,0)</f>
        <v/>
      </c>
      <c r="BD6" s="38">
        <f>IF('СРОКИ'!BD10&lt;='CF_Продажа'!$B$5,1,0)</f>
        <v/>
      </c>
      <c r="BE6" s="38">
        <f>IF('СРОКИ'!BE10&lt;='CF_Продажа'!$B$5,1,0)</f>
        <v/>
      </c>
      <c r="BF6" s="38">
        <f>IF('СРОКИ'!BF10&lt;='CF_Продажа'!$B$5,1,0)</f>
        <v/>
      </c>
      <c r="BG6" s="38">
        <f>IF('СРОКИ'!BG10&lt;='CF_Продажа'!$B$5,1,0)</f>
        <v/>
      </c>
      <c r="BH6" s="38">
        <f>IF('СРОКИ'!BH10&lt;='CF_Продажа'!$B$5,1,0)</f>
        <v/>
      </c>
      <c r="BI6" s="38">
        <f>IF('СРОКИ'!BI10&lt;='CF_Продажа'!$B$5,1,0)</f>
        <v/>
      </c>
      <c r="BJ6" s="38">
        <f>IF('СРОКИ'!BJ10&lt;='CF_Продажа'!$B$5,1,0)</f>
        <v/>
      </c>
      <c r="BK6" s="38">
        <f>IF('СРОКИ'!BK10&lt;='CF_Продажа'!$B$5,1,0)</f>
        <v/>
      </c>
      <c r="BL6" s="38">
        <f>IF('СРОКИ'!BL10&lt;='CF_Продажа'!$B$5,1,0)</f>
        <v/>
      </c>
      <c r="BM6" s="38">
        <f>IF('СРОКИ'!BM10&lt;='CF_Продажа'!$B$5,1,0)</f>
        <v/>
      </c>
      <c r="BN6" s="38">
        <f>IF('СРОКИ'!BN10&lt;='CF_Продажа'!$B$5,1,0)</f>
        <v/>
      </c>
      <c r="BO6" s="38">
        <f>IF('СРОКИ'!BO10&lt;='CF_Продажа'!$B$5,1,0)</f>
        <v/>
      </c>
      <c r="BP6" s="38">
        <f>IF('СРОКИ'!BP10&lt;='CF_Продажа'!$B$5,1,0)</f>
        <v/>
      </c>
      <c r="BQ6" s="38">
        <f>IF('СРОКИ'!BQ10&lt;='CF_Продажа'!$B$5,1,0)</f>
        <v/>
      </c>
      <c r="BR6" s="38">
        <f>IF('СРОКИ'!BR10&lt;='CF_Продажа'!$B$5,1,0)</f>
        <v/>
      </c>
      <c r="BS6" s="38">
        <f>IF('СРОКИ'!BS10&lt;='CF_Продажа'!$B$5,1,0)</f>
        <v/>
      </c>
      <c r="BT6" s="38">
        <f>IF('СРОКИ'!BT10&lt;='CF_Продажа'!$B$5,1,0)</f>
        <v/>
      </c>
      <c r="BU6" s="38">
        <f>IF('СРОКИ'!BU10&lt;='CF_Продажа'!$B$5,1,0)</f>
        <v/>
      </c>
      <c r="BV6" s="38">
        <f>IF('СРОКИ'!BV10&lt;='CF_Продажа'!$B$5,1,0)</f>
        <v/>
      </c>
      <c r="BW6" s="38">
        <f>IF('СРОКИ'!BW10&lt;='CF_Продажа'!$B$5,1,0)</f>
        <v/>
      </c>
      <c r="BX6" s="38">
        <f>IF('СРОКИ'!BX10&lt;='CF_Продажа'!$B$5,1,0)</f>
        <v/>
      </c>
      <c r="BY6" s="38">
        <f>IF('СРОКИ'!BY10&lt;='CF_Продажа'!$B$5,1,0)</f>
        <v/>
      </c>
      <c r="BZ6" s="38">
        <f>IF('СРОКИ'!BZ10&lt;='CF_Продажа'!$B$5,1,0)</f>
        <v/>
      </c>
      <c r="CA6" s="38">
        <f>IF('СРОКИ'!CA10&lt;='CF_Продажа'!$B$5,1,0)</f>
        <v/>
      </c>
      <c r="CB6" s="38">
        <f>IF('СРОКИ'!CB10&lt;='CF_Продажа'!$B$5,1,0)</f>
        <v/>
      </c>
      <c r="CC6" s="38">
        <f>IF('СРОКИ'!CC10&lt;='CF_Продажа'!$B$5,1,0)</f>
        <v/>
      </c>
      <c r="CD6" s="38">
        <f>IF('СРОКИ'!CD10&lt;='CF_Продажа'!$B$5,1,0)</f>
        <v/>
      </c>
      <c r="CE6" s="38">
        <f>IF('СРОКИ'!CE10&lt;='CF_Продажа'!$B$5,1,0)</f>
        <v/>
      </c>
      <c r="CF6" s="38">
        <f>IF('СРОКИ'!CF10&lt;='CF_Продажа'!$B$5,1,0)</f>
        <v/>
      </c>
      <c r="CG6" s="38">
        <f>IF('СРОКИ'!CG10&lt;='CF_Продажа'!$B$5,1,0)</f>
        <v/>
      </c>
      <c r="CH6" s="38">
        <f>IF('СРОКИ'!CH10&lt;='CF_Продажа'!$B$5,1,0)</f>
        <v/>
      </c>
      <c r="CI6" s="38">
        <f>IF('СРОКИ'!CI10&lt;='CF_Продажа'!$B$5,1,0)</f>
        <v/>
      </c>
      <c r="CJ6" s="38">
        <f>IF('СРОКИ'!CJ10&lt;='CF_Продажа'!$B$5,1,0)</f>
        <v/>
      </c>
      <c r="CK6" s="38">
        <f>IF('СРОКИ'!CK10&lt;='CF_Продажа'!$B$5,1,0)</f>
        <v/>
      </c>
      <c r="CL6" s="38">
        <f>IF('СРОКИ'!CL10&lt;='CF_Продажа'!$B$5,1,0)</f>
        <v/>
      </c>
      <c r="CM6" s="38">
        <f>IF('СРОКИ'!CM10&lt;='CF_Продажа'!$B$5,1,0)</f>
        <v/>
      </c>
      <c r="CN6" s="38">
        <f>IF('СРОКИ'!CN10&lt;='CF_Продажа'!$B$5,1,0)</f>
        <v/>
      </c>
      <c r="CO6" s="38">
        <f>IF('СРОКИ'!CO10&lt;='CF_Продажа'!$B$5,1,0)</f>
        <v/>
      </c>
      <c r="CP6" s="38">
        <f>IF('СРОКИ'!CP10&lt;='CF_Продажа'!$B$5,1,0)</f>
        <v/>
      </c>
      <c r="CQ6" s="38">
        <f>IF('СРОКИ'!CQ10&lt;='CF_Продажа'!$B$5,1,0)</f>
        <v/>
      </c>
      <c r="CR6" s="38">
        <f>IF('СРОКИ'!CR10&lt;='CF_Продажа'!$B$5,1,0)</f>
        <v/>
      </c>
      <c r="CS6" s="38">
        <f>IF('СРОКИ'!CS10&lt;='CF_Продажа'!$B$5,1,0)</f>
        <v/>
      </c>
      <c r="CT6" s="38">
        <f>IF('СРОКИ'!CT10&lt;='CF_Продажа'!$B$5,1,0)</f>
        <v/>
      </c>
      <c r="CU6" s="38">
        <f>IF('СРОКИ'!CU10&lt;='CF_Продажа'!$B$5,1,0)</f>
        <v/>
      </c>
      <c r="CV6" s="38">
        <f>IF('СРОКИ'!CV10&lt;='CF_Продажа'!$B$5,1,0)</f>
        <v/>
      </c>
      <c r="CW6" s="38">
        <f>IF('СРОКИ'!CW10&lt;='CF_Продажа'!$B$5,1,0)</f>
        <v/>
      </c>
      <c r="CX6" s="38">
        <f>IF('СРОКИ'!CX10&lt;='CF_Продажа'!$B$5,1,0)</f>
        <v/>
      </c>
      <c r="CY6" s="38">
        <f>IF('СРОКИ'!CY10&lt;='CF_Продажа'!$B$5,1,0)</f>
        <v/>
      </c>
      <c r="CZ6" s="38">
        <f>IF('СРОКИ'!CZ10&lt;='CF_Продажа'!$B$5,1,0)</f>
        <v/>
      </c>
      <c r="DA6" s="38">
        <f>IF('СРОКИ'!DA10&lt;='CF_Продажа'!$B$5,1,0)</f>
        <v/>
      </c>
      <c r="DB6" s="38">
        <f>IF('СРОКИ'!DB10&lt;='CF_Продажа'!$B$5,1,0)</f>
        <v/>
      </c>
      <c r="DC6" s="38">
        <f>IF('СРОКИ'!DC10&lt;='CF_Продажа'!$B$5,1,0)</f>
        <v/>
      </c>
      <c r="DD6" s="38">
        <f>IF('СРОКИ'!DD10&lt;='CF_Продажа'!$B$5,1,0)</f>
        <v/>
      </c>
      <c r="DE6" s="38">
        <f>IF('СРОКИ'!DE10&lt;='CF_Продажа'!$B$5,1,0)</f>
        <v/>
      </c>
      <c r="DF6" s="38">
        <f>IF('СРОКИ'!DF10&lt;='CF_Продажа'!$B$5,1,0)</f>
        <v/>
      </c>
      <c r="DG6" s="38">
        <f>IF('СРОКИ'!DG10&lt;='CF_Продажа'!$B$5,1,0)</f>
        <v/>
      </c>
      <c r="DH6" s="38">
        <f>IF('СРОКИ'!DH10&lt;='CF_Продажа'!$B$5,1,0)</f>
        <v/>
      </c>
      <c r="DI6" s="38">
        <f>IF('СРОКИ'!DI10&lt;='CF_Продажа'!$B$5,1,0)</f>
        <v/>
      </c>
      <c r="DJ6" s="38">
        <f>IF('СРОКИ'!DJ10&lt;='CF_Продажа'!$B$5,1,0)</f>
        <v/>
      </c>
      <c r="DK6" s="38">
        <f>IF('СРОКИ'!DK10&lt;='CF_Продажа'!$B$5,1,0)</f>
        <v/>
      </c>
      <c r="DL6" s="38">
        <f>IF('СРОКИ'!DL10&lt;='CF_Продажа'!$B$5,1,0)</f>
        <v/>
      </c>
      <c r="DM6" s="38">
        <f>IF('СРОКИ'!DM10&lt;='CF_Продажа'!$B$5,1,0)</f>
        <v/>
      </c>
    </row>
    <row r="7">
      <c r="A7" s="42" t="inlineStr">
        <is>
          <t>Выручка пути</t>
        </is>
      </c>
      <c r="B7" s="40">
        <f>SUM(D7:DM7)</f>
        <v/>
      </c>
      <c r="C7" s="37" t="inlineStr">
        <is>
          <t>млн ₽</t>
        </is>
      </c>
      <c r="D7" s="40">
        <f>'Продажа'!D8*'CF_Продажа'!D6</f>
        <v/>
      </c>
      <c r="E7" s="40">
        <f>'Продажа'!E8*'CF_Продажа'!E6</f>
        <v/>
      </c>
      <c r="F7" s="40">
        <f>'Продажа'!F8*'CF_Продажа'!F6</f>
        <v/>
      </c>
      <c r="G7" s="40">
        <f>'Продажа'!G8*'CF_Продажа'!G6</f>
        <v/>
      </c>
      <c r="H7" s="40">
        <f>'Продажа'!H8*'CF_Продажа'!H6</f>
        <v/>
      </c>
      <c r="I7" s="40">
        <f>'Продажа'!I8*'CF_Продажа'!I6</f>
        <v/>
      </c>
      <c r="J7" s="40">
        <f>'Продажа'!J8*'CF_Продажа'!J6</f>
        <v/>
      </c>
      <c r="K7" s="40">
        <f>'Продажа'!K8*'CF_Продажа'!K6</f>
        <v/>
      </c>
      <c r="L7" s="40">
        <f>'Продажа'!L8*'CF_Продажа'!L6</f>
        <v/>
      </c>
      <c r="M7" s="40">
        <f>'Продажа'!M8*'CF_Продажа'!M6</f>
        <v/>
      </c>
      <c r="N7" s="40">
        <f>'Продажа'!N8*'CF_Продажа'!N6</f>
        <v/>
      </c>
      <c r="O7" s="40">
        <f>'Продажа'!O8*'CF_Продажа'!O6</f>
        <v/>
      </c>
      <c r="P7" s="40">
        <f>'Продажа'!P8*'CF_Продажа'!P6</f>
        <v/>
      </c>
      <c r="Q7" s="40">
        <f>'Продажа'!Q8*'CF_Продажа'!Q6</f>
        <v/>
      </c>
      <c r="R7" s="40">
        <f>'Продажа'!R8*'CF_Продажа'!R6</f>
        <v/>
      </c>
      <c r="S7" s="40">
        <f>'Продажа'!S8*'CF_Продажа'!S6</f>
        <v/>
      </c>
      <c r="T7" s="40">
        <f>'Продажа'!T8*'CF_Продажа'!T6</f>
        <v/>
      </c>
      <c r="U7" s="40">
        <f>'Продажа'!U8*'CF_Продажа'!U6</f>
        <v/>
      </c>
      <c r="V7" s="40">
        <f>'Продажа'!V8*'CF_Продажа'!V6</f>
        <v/>
      </c>
      <c r="W7" s="40">
        <f>'Продажа'!W8*'CF_Продажа'!W6</f>
        <v/>
      </c>
      <c r="X7" s="40">
        <f>'Продажа'!X8*'CF_Продажа'!X6</f>
        <v/>
      </c>
      <c r="Y7" s="40">
        <f>'Продажа'!Y8*'CF_Продажа'!Y6</f>
        <v/>
      </c>
      <c r="Z7" s="40">
        <f>'Продажа'!Z8*'CF_Продажа'!Z6</f>
        <v/>
      </c>
      <c r="AA7" s="40">
        <f>'Продажа'!AA8*'CF_Продажа'!AA6</f>
        <v/>
      </c>
      <c r="AB7" s="40">
        <f>'Продажа'!AB8*'CF_Продажа'!AB6</f>
        <v/>
      </c>
      <c r="AC7" s="40">
        <f>'Продажа'!AC8*'CF_Продажа'!AC6</f>
        <v/>
      </c>
      <c r="AD7" s="40">
        <f>'Продажа'!AD8*'CF_Продажа'!AD6</f>
        <v/>
      </c>
      <c r="AE7" s="40">
        <f>'Продажа'!AE8*'CF_Продажа'!AE6</f>
        <v/>
      </c>
      <c r="AF7" s="40">
        <f>'Продажа'!AF8*'CF_Продажа'!AF6</f>
        <v/>
      </c>
      <c r="AG7" s="40">
        <f>'Продажа'!AG8*'CF_Продажа'!AG6</f>
        <v/>
      </c>
      <c r="AH7" s="40">
        <f>'Продажа'!AH8*'CF_Продажа'!AH6</f>
        <v/>
      </c>
      <c r="AI7" s="40">
        <f>'Продажа'!AI8*'CF_Продажа'!AI6</f>
        <v/>
      </c>
      <c r="AJ7" s="40">
        <f>'Продажа'!AJ8*'CF_Продажа'!AJ6</f>
        <v/>
      </c>
      <c r="AK7" s="40">
        <f>'Продажа'!AK8*'CF_Продажа'!AK6</f>
        <v/>
      </c>
      <c r="AL7" s="40">
        <f>'Продажа'!AL8*'CF_Продажа'!AL6</f>
        <v/>
      </c>
      <c r="AM7" s="40">
        <f>'Продажа'!AM8*'CF_Продажа'!AM6</f>
        <v/>
      </c>
      <c r="AN7" s="40">
        <f>'Продажа'!AN8*'CF_Продажа'!AN6</f>
        <v/>
      </c>
      <c r="AO7" s="40">
        <f>'Продажа'!AO8*'CF_Продажа'!AO6</f>
        <v/>
      </c>
      <c r="AP7" s="40">
        <f>'Продажа'!AP8*'CF_Продажа'!AP6</f>
        <v/>
      </c>
      <c r="AQ7" s="40">
        <f>'Продажа'!AQ8*'CF_Продажа'!AQ6</f>
        <v/>
      </c>
      <c r="AR7" s="40">
        <f>'Продажа'!AR8*'CF_Продажа'!AR6</f>
        <v/>
      </c>
      <c r="AS7" s="40">
        <f>'Продажа'!AS8*'CF_Продажа'!AS6</f>
        <v/>
      </c>
      <c r="AT7" s="40">
        <f>'Продажа'!AT8*'CF_Продажа'!AT6</f>
        <v/>
      </c>
      <c r="AU7" s="40">
        <f>'Продажа'!AU8*'CF_Продажа'!AU6</f>
        <v/>
      </c>
      <c r="AV7" s="40">
        <f>'Продажа'!AV8*'CF_Продажа'!AV6</f>
        <v/>
      </c>
      <c r="AW7" s="40">
        <f>'Продажа'!AW8*'CF_Продажа'!AW6</f>
        <v/>
      </c>
      <c r="AX7" s="40">
        <f>'Продажа'!AX8*'CF_Продажа'!AX6</f>
        <v/>
      </c>
      <c r="AY7" s="40">
        <f>'Продажа'!AY8*'CF_Продажа'!AY6</f>
        <v/>
      </c>
      <c r="AZ7" s="40">
        <f>'Продажа'!AZ8*'CF_Продажа'!AZ6</f>
        <v/>
      </c>
      <c r="BA7" s="40">
        <f>'Продажа'!BA8*'CF_Продажа'!BA6</f>
        <v/>
      </c>
      <c r="BB7" s="40">
        <f>'Продажа'!BB8*'CF_Продажа'!BB6</f>
        <v/>
      </c>
      <c r="BC7" s="40">
        <f>'Продажа'!BC8*'CF_Продажа'!BC6</f>
        <v/>
      </c>
      <c r="BD7" s="40">
        <f>'Продажа'!BD8*'CF_Продажа'!BD6</f>
        <v/>
      </c>
      <c r="BE7" s="40">
        <f>'Продажа'!BE8*'CF_Продажа'!BE6</f>
        <v/>
      </c>
      <c r="BF7" s="40">
        <f>'Продажа'!BF8*'CF_Продажа'!BF6</f>
        <v/>
      </c>
      <c r="BG7" s="40">
        <f>'Продажа'!BG8*'CF_Продажа'!BG6</f>
        <v/>
      </c>
      <c r="BH7" s="40">
        <f>'Продажа'!BH8*'CF_Продажа'!BH6</f>
        <v/>
      </c>
      <c r="BI7" s="40">
        <f>'Продажа'!BI8*'CF_Продажа'!BI6</f>
        <v/>
      </c>
      <c r="BJ7" s="40">
        <f>'Продажа'!BJ8*'CF_Продажа'!BJ6</f>
        <v/>
      </c>
      <c r="BK7" s="40">
        <f>'Продажа'!BK8*'CF_Продажа'!BK6</f>
        <v/>
      </c>
      <c r="BL7" s="40">
        <f>'Продажа'!BL8*'CF_Продажа'!BL6</f>
        <v/>
      </c>
      <c r="BM7" s="40">
        <f>'Продажа'!BM8*'CF_Продажа'!BM6</f>
        <v/>
      </c>
      <c r="BN7" s="40">
        <f>'Продажа'!BN8*'CF_Продажа'!BN6</f>
        <v/>
      </c>
      <c r="BO7" s="40">
        <f>'Продажа'!BO8*'CF_Продажа'!BO6</f>
        <v/>
      </c>
      <c r="BP7" s="40">
        <f>'Продажа'!BP8*'CF_Продажа'!BP6</f>
        <v/>
      </c>
      <c r="BQ7" s="40">
        <f>'Продажа'!BQ8*'CF_Продажа'!BQ6</f>
        <v/>
      </c>
      <c r="BR7" s="40">
        <f>'Продажа'!BR8*'CF_Продажа'!BR6</f>
        <v/>
      </c>
      <c r="BS7" s="40">
        <f>'Продажа'!BS8*'CF_Продажа'!BS6</f>
        <v/>
      </c>
      <c r="BT7" s="40">
        <f>'Продажа'!BT8*'CF_Продажа'!BT6</f>
        <v/>
      </c>
      <c r="BU7" s="40">
        <f>'Продажа'!BU8*'CF_Продажа'!BU6</f>
        <v/>
      </c>
      <c r="BV7" s="40">
        <f>'Продажа'!BV8*'CF_Продажа'!BV6</f>
        <v/>
      </c>
      <c r="BW7" s="40">
        <f>'Продажа'!BW8*'CF_Продажа'!BW6</f>
        <v/>
      </c>
      <c r="BX7" s="40">
        <f>'Продажа'!BX8*'CF_Продажа'!BX6</f>
        <v/>
      </c>
      <c r="BY7" s="40">
        <f>'Продажа'!BY8*'CF_Продажа'!BY6</f>
        <v/>
      </c>
      <c r="BZ7" s="40">
        <f>'Продажа'!BZ8*'CF_Продажа'!BZ6</f>
        <v/>
      </c>
      <c r="CA7" s="40">
        <f>'Продажа'!CA8*'CF_Продажа'!CA6</f>
        <v/>
      </c>
      <c r="CB7" s="40">
        <f>'Продажа'!CB8*'CF_Продажа'!CB6</f>
        <v/>
      </c>
      <c r="CC7" s="40">
        <f>'Продажа'!CC8*'CF_Продажа'!CC6</f>
        <v/>
      </c>
      <c r="CD7" s="40">
        <f>'Продажа'!CD8*'CF_Продажа'!CD6</f>
        <v/>
      </c>
      <c r="CE7" s="40">
        <f>'Продажа'!CE8*'CF_Продажа'!CE6</f>
        <v/>
      </c>
      <c r="CF7" s="40">
        <f>'Продажа'!CF8*'CF_Продажа'!CF6</f>
        <v/>
      </c>
      <c r="CG7" s="40">
        <f>'Продажа'!CG8*'CF_Продажа'!CG6</f>
        <v/>
      </c>
      <c r="CH7" s="40">
        <f>'Продажа'!CH8*'CF_Продажа'!CH6</f>
        <v/>
      </c>
      <c r="CI7" s="40">
        <f>'Продажа'!CI8*'CF_Продажа'!CI6</f>
        <v/>
      </c>
      <c r="CJ7" s="40">
        <f>'Продажа'!CJ8*'CF_Продажа'!CJ6</f>
        <v/>
      </c>
      <c r="CK7" s="40">
        <f>'Продажа'!CK8*'CF_Продажа'!CK6</f>
        <v/>
      </c>
      <c r="CL7" s="40">
        <f>'Продажа'!CL8*'CF_Продажа'!CL6</f>
        <v/>
      </c>
      <c r="CM7" s="40">
        <f>'Продажа'!CM8*'CF_Продажа'!CM6</f>
        <v/>
      </c>
      <c r="CN7" s="40">
        <f>'Продажа'!CN8*'CF_Продажа'!CN6</f>
        <v/>
      </c>
      <c r="CO7" s="40">
        <f>'Продажа'!CO8*'CF_Продажа'!CO6</f>
        <v/>
      </c>
      <c r="CP7" s="40">
        <f>'Продажа'!CP8*'CF_Продажа'!CP6</f>
        <v/>
      </c>
      <c r="CQ7" s="40">
        <f>'Продажа'!CQ8*'CF_Продажа'!CQ6</f>
        <v/>
      </c>
      <c r="CR7" s="40">
        <f>'Продажа'!CR8*'CF_Продажа'!CR6</f>
        <v/>
      </c>
      <c r="CS7" s="40">
        <f>'Продажа'!CS8*'CF_Продажа'!CS6</f>
        <v/>
      </c>
      <c r="CT7" s="40">
        <f>'Продажа'!CT8*'CF_Продажа'!CT6</f>
        <v/>
      </c>
      <c r="CU7" s="40">
        <f>'Продажа'!CU8*'CF_Продажа'!CU6</f>
        <v/>
      </c>
      <c r="CV7" s="40">
        <f>'Продажа'!CV8*'CF_Продажа'!CV6</f>
        <v/>
      </c>
      <c r="CW7" s="40">
        <f>'Продажа'!CW8*'CF_Продажа'!CW6</f>
        <v/>
      </c>
      <c r="CX7" s="40">
        <f>'Продажа'!CX8*'CF_Продажа'!CX6</f>
        <v/>
      </c>
      <c r="CY7" s="40">
        <f>'Продажа'!CY8*'CF_Продажа'!CY6</f>
        <v/>
      </c>
      <c r="CZ7" s="40">
        <f>'Продажа'!CZ8*'CF_Продажа'!CZ6</f>
        <v/>
      </c>
      <c r="DA7" s="40">
        <f>'Продажа'!DA8*'CF_Продажа'!DA6</f>
        <v/>
      </c>
      <c r="DB7" s="40">
        <f>'Продажа'!DB8*'CF_Продажа'!DB6</f>
        <v/>
      </c>
      <c r="DC7" s="40">
        <f>'Продажа'!DC8*'CF_Продажа'!DC6</f>
        <v/>
      </c>
      <c r="DD7" s="40">
        <f>'Продажа'!DD8*'CF_Продажа'!DD6</f>
        <v/>
      </c>
      <c r="DE7" s="40">
        <f>'Продажа'!DE8*'CF_Продажа'!DE6</f>
        <v/>
      </c>
      <c r="DF7" s="40">
        <f>'Продажа'!DF8*'CF_Продажа'!DF6</f>
        <v/>
      </c>
      <c r="DG7" s="40">
        <f>'Продажа'!DG8*'CF_Продажа'!DG6</f>
        <v/>
      </c>
      <c r="DH7" s="40">
        <f>'Продажа'!DH8*'CF_Продажа'!DH6</f>
        <v/>
      </c>
      <c r="DI7" s="40">
        <f>'Продажа'!DI8*'CF_Продажа'!DI6</f>
        <v/>
      </c>
      <c r="DJ7" s="40">
        <f>'Продажа'!DJ8*'CF_Продажа'!DJ6</f>
        <v/>
      </c>
      <c r="DK7" s="40">
        <f>'Продажа'!DK8*'CF_Продажа'!DK6</f>
        <v/>
      </c>
      <c r="DL7" s="40">
        <f>'Продажа'!DL8*'CF_Продажа'!DL6</f>
        <v/>
      </c>
      <c r="DM7" s="40">
        <f>'Продажа'!DM8*'CF_Продажа'!DM6</f>
        <v/>
      </c>
    </row>
    <row r="8">
      <c r="A8" s="36" t="inlineStr">
        <is>
          <t>Расходы продаж и эксплуатации</t>
        </is>
      </c>
      <c r="B8" s="40">
        <f>SUM(D8:DM8)</f>
        <v/>
      </c>
      <c r="C8" s="37" t="inlineStr">
        <is>
          <t>млн ₽</t>
        </is>
      </c>
      <c r="D8" s="47">
        <f>('Продажа'!D9+'Продажа'!D11)*'CF_Продажа'!D6</f>
        <v/>
      </c>
      <c r="E8" s="47">
        <f>('Продажа'!E9+'Продажа'!E11)*'CF_Продажа'!E6</f>
        <v/>
      </c>
      <c r="F8" s="47">
        <f>('Продажа'!F9+'Продажа'!F11)*'CF_Продажа'!F6</f>
        <v/>
      </c>
      <c r="G8" s="47">
        <f>('Продажа'!G9+'Продажа'!G11)*'CF_Продажа'!G6</f>
        <v/>
      </c>
      <c r="H8" s="47">
        <f>('Продажа'!H9+'Продажа'!H11)*'CF_Продажа'!H6</f>
        <v/>
      </c>
      <c r="I8" s="47">
        <f>('Продажа'!I9+'Продажа'!I11)*'CF_Продажа'!I6</f>
        <v/>
      </c>
      <c r="J8" s="47">
        <f>('Продажа'!J9+'Продажа'!J11)*'CF_Продажа'!J6</f>
        <v/>
      </c>
      <c r="K8" s="47">
        <f>('Продажа'!K9+'Продажа'!K11)*'CF_Продажа'!K6</f>
        <v/>
      </c>
      <c r="L8" s="47">
        <f>('Продажа'!L9+'Продажа'!L11)*'CF_Продажа'!L6</f>
        <v/>
      </c>
      <c r="M8" s="47">
        <f>('Продажа'!M9+'Продажа'!M11)*'CF_Продажа'!M6</f>
        <v/>
      </c>
      <c r="N8" s="47">
        <f>('Продажа'!N9+'Продажа'!N11)*'CF_Продажа'!N6</f>
        <v/>
      </c>
      <c r="O8" s="47">
        <f>('Продажа'!O9+'Продажа'!O11)*'CF_Продажа'!O6</f>
        <v/>
      </c>
      <c r="P8" s="47">
        <f>('Продажа'!P9+'Продажа'!P11)*'CF_Продажа'!P6</f>
        <v/>
      </c>
      <c r="Q8" s="47">
        <f>('Продажа'!Q9+'Продажа'!Q11)*'CF_Продажа'!Q6</f>
        <v/>
      </c>
      <c r="R8" s="47">
        <f>('Продажа'!R9+'Продажа'!R11)*'CF_Продажа'!R6</f>
        <v/>
      </c>
      <c r="S8" s="47">
        <f>('Продажа'!S9+'Продажа'!S11)*'CF_Продажа'!S6</f>
        <v/>
      </c>
      <c r="T8" s="47">
        <f>('Продажа'!T9+'Продажа'!T11)*'CF_Продажа'!T6</f>
        <v/>
      </c>
      <c r="U8" s="47">
        <f>('Продажа'!U9+'Продажа'!U11)*'CF_Продажа'!U6</f>
        <v/>
      </c>
      <c r="V8" s="47">
        <f>('Продажа'!V9+'Продажа'!V11)*'CF_Продажа'!V6</f>
        <v/>
      </c>
      <c r="W8" s="47">
        <f>('Продажа'!W9+'Продажа'!W11)*'CF_Продажа'!W6</f>
        <v/>
      </c>
      <c r="X8" s="47">
        <f>('Продажа'!X9+'Продажа'!X11)*'CF_Продажа'!X6</f>
        <v/>
      </c>
      <c r="Y8" s="47">
        <f>('Продажа'!Y9+'Продажа'!Y11)*'CF_Продажа'!Y6</f>
        <v/>
      </c>
      <c r="Z8" s="47">
        <f>('Продажа'!Z9+'Продажа'!Z11)*'CF_Продажа'!Z6</f>
        <v/>
      </c>
      <c r="AA8" s="47">
        <f>('Продажа'!AA9+'Продажа'!AA11)*'CF_Продажа'!AA6</f>
        <v/>
      </c>
      <c r="AB8" s="47">
        <f>('Продажа'!AB9+'Продажа'!AB11)*'CF_Продажа'!AB6</f>
        <v/>
      </c>
      <c r="AC8" s="47">
        <f>('Продажа'!AC9+'Продажа'!AC11)*'CF_Продажа'!AC6</f>
        <v/>
      </c>
      <c r="AD8" s="47">
        <f>('Продажа'!AD9+'Продажа'!AD11)*'CF_Продажа'!AD6</f>
        <v/>
      </c>
      <c r="AE8" s="47">
        <f>('Продажа'!AE9+'Продажа'!AE11)*'CF_Продажа'!AE6</f>
        <v/>
      </c>
      <c r="AF8" s="47">
        <f>('Продажа'!AF9+'Продажа'!AF11)*'CF_Продажа'!AF6</f>
        <v/>
      </c>
      <c r="AG8" s="47">
        <f>('Продажа'!AG9+'Продажа'!AG11)*'CF_Продажа'!AG6</f>
        <v/>
      </c>
      <c r="AH8" s="47">
        <f>('Продажа'!AH9+'Продажа'!AH11)*'CF_Продажа'!AH6</f>
        <v/>
      </c>
      <c r="AI8" s="47">
        <f>('Продажа'!AI9+'Продажа'!AI11)*'CF_Продажа'!AI6</f>
        <v/>
      </c>
      <c r="AJ8" s="47">
        <f>('Продажа'!AJ9+'Продажа'!AJ11)*'CF_Продажа'!AJ6</f>
        <v/>
      </c>
      <c r="AK8" s="47">
        <f>('Продажа'!AK9+'Продажа'!AK11)*'CF_Продажа'!AK6</f>
        <v/>
      </c>
      <c r="AL8" s="47">
        <f>('Продажа'!AL9+'Продажа'!AL11)*'CF_Продажа'!AL6</f>
        <v/>
      </c>
      <c r="AM8" s="47">
        <f>('Продажа'!AM9+'Продажа'!AM11)*'CF_Продажа'!AM6</f>
        <v/>
      </c>
      <c r="AN8" s="47">
        <f>('Продажа'!AN9+'Продажа'!AN11)*'CF_Продажа'!AN6</f>
        <v/>
      </c>
      <c r="AO8" s="47">
        <f>('Продажа'!AO9+'Продажа'!AO11)*'CF_Продажа'!AO6</f>
        <v/>
      </c>
      <c r="AP8" s="47">
        <f>('Продажа'!AP9+'Продажа'!AP11)*'CF_Продажа'!AP6</f>
        <v/>
      </c>
      <c r="AQ8" s="47">
        <f>('Продажа'!AQ9+'Продажа'!AQ11)*'CF_Продажа'!AQ6</f>
        <v/>
      </c>
      <c r="AR8" s="47">
        <f>('Продажа'!AR9+'Продажа'!AR11)*'CF_Продажа'!AR6</f>
        <v/>
      </c>
      <c r="AS8" s="47">
        <f>('Продажа'!AS9+'Продажа'!AS11)*'CF_Продажа'!AS6</f>
        <v/>
      </c>
      <c r="AT8" s="47">
        <f>('Продажа'!AT9+'Продажа'!AT11)*'CF_Продажа'!AT6</f>
        <v/>
      </c>
      <c r="AU8" s="47">
        <f>('Продажа'!AU9+'Продажа'!AU11)*'CF_Продажа'!AU6</f>
        <v/>
      </c>
      <c r="AV8" s="47">
        <f>('Продажа'!AV9+'Продажа'!AV11)*'CF_Продажа'!AV6</f>
        <v/>
      </c>
      <c r="AW8" s="47">
        <f>('Продажа'!AW9+'Продажа'!AW11)*'CF_Продажа'!AW6</f>
        <v/>
      </c>
      <c r="AX8" s="47">
        <f>('Продажа'!AX9+'Продажа'!AX11)*'CF_Продажа'!AX6</f>
        <v/>
      </c>
      <c r="AY8" s="47">
        <f>('Продажа'!AY9+'Продажа'!AY11)*'CF_Продажа'!AY6</f>
        <v/>
      </c>
      <c r="AZ8" s="47">
        <f>('Продажа'!AZ9+'Продажа'!AZ11)*'CF_Продажа'!AZ6</f>
        <v/>
      </c>
      <c r="BA8" s="47">
        <f>('Продажа'!BA9+'Продажа'!BA11)*'CF_Продажа'!BA6</f>
        <v/>
      </c>
      <c r="BB8" s="47">
        <f>('Продажа'!BB9+'Продажа'!BB11)*'CF_Продажа'!BB6</f>
        <v/>
      </c>
      <c r="BC8" s="47">
        <f>('Продажа'!BC9+'Продажа'!BC11)*'CF_Продажа'!BC6</f>
        <v/>
      </c>
      <c r="BD8" s="47">
        <f>('Продажа'!BD9+'Продажа'!BD11)*'CF_Продажа'!BD6</f>
        <v/>
      </c>
      <c r="BE8" s="47">
        <f>('Продажа'!BE9+'Продажа'!BE11)*'CF_Продажа'!BE6</f>
        <v/>
      </c>
      <c r="BF8" s="47">
        <f>('Продажа'!BF9+'Продажа'!BF11)*'CF_Продажа'!BF6</f>
        <v/>
      </c>
      <c r="BG8" s="47">
        <f>('Продажа'!BG9+'Продажа'!BG11)*'CF_Продажа'!BG6</f>
        <v/>
      </c>
      <c r="BH8" s="47">
        <f>('Продажа'!BH9+'Продажа'!BH11)*'CF_Продажа'!BH6</f>
        <v/>
      </c>
      <c r="BI8" s="47">
        <f>('Продажа'!BI9+'Продажа'!BI11)*'CF_Продажа'!BI6</f>
        <v/>
      </c>
      <c r="BJ8" s="47">
        <f>('Продажа'!BJ9+'Продажа'!BJ11)*'CF_Продажа'!BJ6</f>
        <v/>
      </c>
      <c r="BK8" s="47">
        <f>('Продажа'!BK9+'Продажа'!BK11)*'CF_Продажа'!BK6</f>
        <v/>
      </c>
      <c r="BL8" s="47">
        <f>('Продажа'!BL9+'Продажа'!BL11)*'CF_Продажа'!BL6</f>
        <v/>
      </c>
      <c r="BM8" s="47">
        <f>('Продажа'!BM9+'Продажа'!BM11)*'CF_Продажа'!BM6</f>
        <v/>
      </c>
      <c r="BN8" s="47">
        <f>('Продажа'!BN9+'Продажа'!BN11)*'CF_Продажа'!BN6</f>
        <v/>
      </c>
      <c r="BO8" s="47">
        <f>('Продажа'!BO9+'Продажа'!BO11)*'CF_Продажа'!BO6</f>
        <v/>
      </c>
      <c r="BP8" s="47">
        <f>('Продажа'!BP9+'Продажа'!BP11)*'CF_Продажа'!BP6</f>
        <v/>
      </c>
      <c r="BQ8" s="47">
        <f>('Продажа'!BQ9+'Продажа'!BQ11)*'CF_Продажа'!BQ6</f>
        <v/>
      </c>
      <c r="BR8" s="47">
        <f>('Продажа'!BR9+'Продажа'!BR11)*'CF_Продажа'!BR6</f>
        <v/>
      </c>
      <c r="BS8" s="47">
        <f>('Продажа'!BS9+'Продажа'!BS11)*'CF_Продажа'!BS6</f>
        <v/>
      </c>
      <c r="BT8" s="47">
        <f>('Продажа'!BT9+'Продажа'!BT11)*'CF_Продажа'!BT6</f>
        <v/>
      </c>
      <c r="BU8" s="47">
        <f>('Продажа'!BU9+'Продажа'!BU11)*'CF_Продажа'!BU6</f>
        <v/>
      </c>
      <c r="BV8" s="47">
        <f>('Продажа'!BV9+'Продажа'!BV11)*'CF_Продажа'!BV6</f>
        <v/>
      </c>
      <c r="BW8" s="47">
        <f>('Продажа'!BW9+'Продажа'!BW11)*'CF_Продажа'!BW6</f>
        <v/>
      </c>
      <c r="BX8" s="47">
        <f>('Продажа'!BX9+'Продажа'!BX11)*'CF_Продажа'!BX6</f>
        <v/>
      </c>
      <c r="BY8" s="47">
        <f>('Продажа'!BY9+'Продажа'!BY11)*'CF_Продажа'!BY6</f>
        <v/>
      </c>
      <c r="BZ8" s="47">
        <f>('Продажа'!BZ9+'Продажа'!BZ11)*'CF_Продажа'!BZ6</f>
        <v/>
      </c>
      <c r="CA8" s="47">
        <f>('Продажа'!CA9+'Продажа'!CA11)*'CF_Продажа'!CA6</f>
        <v/>
      </c>
      <c r="CB8" s="47">
        <f>('Продажа'!CB9+'Продажа'!CB11)*'CF_Продажа'!CB6</f>
        <v/>
      </c>
      <c r="CC8" s="47">
        <f>('Продажа'!CC9+'Продажа'!CC11)*'CF_Продажа'!CC6</f>
        <v/>
      </c>
      <c r="CD8" s="47">
        <f>('Продажа'!CD9+'Продажа'!CD11)*'CF_Продажа'!CD6</f>
        <v/>
      </c>
      <c r="CE8" s="47">
        <f>('Продажа'!CE9+'Продажа'!CE11)*'CF_Продажа'!CE6</f>
        <v/>
      </c>
      <c r="CF8" s="47">
        <f>('Продажа'!CF9+'Продажа'!CF11)*'CF_Продажа'!CF6</f>
        <v/>
      </c>
      <c r="CG8" s="47">
        <f>('Продажа'!CG9+'Продажа'!CG11)*'CF_Продажа'!CG6</f>
        <v/>
      </c>
      <c r="CH8" s="47">
        <f>('Продажа'!CH9+'Продажа'!CH11)*'CF_Продажа'!CH6</f>
        <v/>
      </c>
      <c r="CI8" s="47">
        <f>('Продажа'!CI9+'Продажа'!CI11)*'CF_Продажа'!CI6</f>
        <v/>
      </c>
      <c r="CJ8" s="47">
        <f>('Продажа'!CJ9+'Продажа'!CJ11)*'CF_Продажа'!CJ6</f>
        <v/>
      </c>
      <c r="CK8" s="47">
        <f>('Продажа'!CK9+'Продажа'!CK11)*'CF_Продажа'!CK6</f>
        <v/>
      </c>
      <c r="CL8" s="47">
        <f>('Продажа'!CL9+'Продажа'!CL11)*'CF_Продажа'!CL6</f>
        <v/>
      </c>
      <c r="CM8" s="47">
        <f>('Продажа'!CM9+'Продажа'!CM11)*'CF_Продажа'!CM6</f>
        <v/>
      </c>
      <c r="CN8" s="47">
        <f>('Продажа'!CN9+'Продажа'!CN11)*'CF_Продажа'!CN6</f>
        <v/>
      </c>
      <c r="CO8" s="47">
        <f>('Продажа'!CO9+'Продажа'!CO11)*'CF_Продажа'!CO6</f>
        <v/>
      </c>
      <c r="CP8" s="47">
        <f>('Продажа'!CP9+'Продажа'!CP11)*'CF_Продажа'!CP6</f>
        <v/>
      </c>
      <c r="CQ8" s="47">
        <f>('Продажа'!CQ9+'Продажа'!CQ11)*'CF_Продажа'!CQ6</f>
        <v/>
      </c>
      <c r="CR8" s="47">
        <f>('Продажа'!CR9+'Продажа'!CR11)*'CF_Продажа'!CR6</f>
        <v/>
      </c>
      <c r="CS8" s="47">
        <f>('Продажа'!CS9+'Продажа'!CS11)*'CF_Продажа'!CS6</f>
        <v/>
      </c>
      <c r="CT8" s="47">
        <f>('Продажа'!CT9+'Продажа'!CT11)*'CF_Продажа'!CT6</f>
        <v/>
      </c>
      <c r="CU8" s="47">
        <f>('Продажа'!CU9+'Продажа'!CU11)*'CF_Продажа'!CU6</f>
        <v/>
      </c>
      <c r="CV8" s="47">
        <f>('Продажа'!CV9+'Продажа'!CV11)*'CF_Продажа'!CV6</f>
        <v/>
      </c>
      <c r="CW8" s="47">
        <f>('Продажа'!CW9+'Продажа'!CW11)*'CF_Продажа'!CW6</f>
        <v/>
      </c>
      <c r="CX8" s="47">
        <f>('Продажа'!CX9+'Продажа'!CX11)*'CF_Продажа'!CX6</f>
        <v/>
      </c>
      <c r="CY8" s="47">
        <f>('Продажа'!CY9+'Продажа'!CY11)*'CF_Продажа'!CY6</f>
        <v/>
      </c>
      <c r="CZ8" s="47">
        <f>('Продажа'!CZ9+'Продажа'!CZ11)*'CF_Продажа'!CZ6</f>
        <v/>
      </c>
      <c r="DA8" s="47">
        <f>('Продажа'!DA9+'Продажа'!DA11)*'CF_Продажа'!DA6</f>
        <v/>
      </c>
      <c r="DB8" s="47">
        <f>('Продажа'!DB9+'Продажа'!DB11)*'CF_Продажа'!DB6</f>
        <v/>
      </c>
      <c r="DC8" s="47">
        <f>('Продажа'!DC9+'Продажа'!DC11)*'CF_Продажа'!DC6</f>
        <v/>
      </c>
      <c r="DD8" s="47">
        <f>('Продажа'!DD9+'Продажа'!DD11)*'CF_Продажа'!DD6</f>
        <v/>
      </c>
      <c r="DE8" s="47">
        <f>('Продажа'!DE9+'Продажа'!DE11)*'CF_Продажа'!DE6</f>
        <v/>
      </c>
      <c r="DF8" s="47">
        <f>('Продажа'!DF9+'Продажа'!DF11)*'CF_Продажа'!DF6</f>
        <v/>
      </c>
      <c r="DG8" s="47">
        <f>('Продажа'!DG9+'Продажа'!DG11)*'CF_Продажа'!DG6</f>
        <v/>
      </c>
      <c r="DH8" s="47">
        <f>('Продажа'!DH9+'Продажа'!DH11)*'CF_Продажа'!DH6</f>
        <v/>
      </c>
      <c r="DI8" s="47">
        <f>('Продажа'!DI9+'Продажа'!DI11)*'CF_Продажа'!DI6</f>
        <v/>
      </c>
      <c r="DJ8" s="47">
        <f>('Продажа'!DJ9+'Продажа'!DJ11)*'CF_Продажа'!DJ6</f>
        <v/>
      </c>
      <c r="DK8" s="47">
        <f>('Продажа'!DK9+'Продажа'!DK11)*'CF_Продажа'!DK6</f>
        <v/>
      </c>
      <c r="DL8" s="47">
        <f>('Продажа'!DL9+'Продажа'!DL11)*'CF_Продажа'!DL6</f>
        <v/>
      </c>
      <c r="DM8" s="47">
        <f>('Продажа'!DM9+'Продажа'!DM11)*'CF_Продажа'!DM6</f>
        <v/>
      </c>
    </row>
    <row r="10">
      <c r="A10" s="17" t="inlineStr">
        <is>
          <t>НДС</t>
        </is>
      </c>
      <c r="B10" s="18" t="n"/>
      <c r="C10" s="18" t="n"/>
    </row>
    <row r="11">
      <c r="A11" s="36" t="inlineStr">
        <is>
          <t>НДС начислен</t>
        </is>
      </c>
      <c r="B11" s="40">
        <f>SUM(D11:DM11)</f>
        <v/>
      </c>
      <c r="C11" s="37" t="inlineStr">
        <is>
          <t>млн ₽</t>
        </is>
      </c>
      <c r="D11" s="47">
        <f>'CF_Продажа'!D7*'Вводные'!$B$11/(1+'Вводные'!$B$11)</f>
        <v/>
      </c>
      <c r="E11" s="47">
        <f>'CF_Продажа'!E7*'Вводные'!$B$11/(1+'Вводные'!$B$11)</f>
        <v/>
      </c>
      <c r="F11" s="47">
        <f>'CF_Продажа'!F7*'Вводные'!$B$11/(1+'Вводные'!$B$11)</f>
        <v/>
      </c>
      <c r="G11" s="47">
        <f>'CF_Продажа'!G7*'Вводные'!$B$11/(1+'Вводные'!$B$11)</f>
        <v/>
      </c>
      <c r="H11" s="47">
        <f>'CF_Продажа'!H7*'Вводные'!$B$11/(1+'Вводные'!$B$11)</f>
        <v/>
      </c>
      <c r="I11" s="47">
        <f>'CF_Продажа'!I7*'Вводные'!$B$11/(1+'Вводные'!$B$11)</f>
        <v/>
      </c>
      <c r="J11" s="47">
        <f>'CF_Продажа'!J7*'Вводные'!$B$11/(1+'Вводные'!$B$11)</f>
        <v/>
      </c>
      <c r="K11" s="47">
        <f>'CF_Продажа'!K7*'Вводные'!$B$11/(1+'Вводные'!$B$11)</f>
        <v/>
      </c>
      <c r="L11" s="47">
        <f>'CF_Продажа'!L7*'Вводные'!$B$11/(1+'Вводные'!$B$11)</f>
        <v/>
      </c>
      <c r="M11" s="47">
        <f>'CF_Продажа'!M7*'Вводные'!$B$11/(1+'Вводные'!$B$11)</f>
        <v/>
      </c>
      <c r="N11" s="47">
        <f>'CF_Продажа'!N7*'Вводные'!$B$11/(1+'Вводные'!$B$11)</f>
        <v/>
      </c>
      <c r="O11" s="47">
        <f>'CF_Продажа'!O7*'Вводные'!$B$11/(1+'Вводные'!$B$11)</f>
        <v/>
      </c>
      <c r="P11" s="47">
        <f>'CF_Продажа'!P7*'Вводные'!$B$11/(1+'Вводные'!$B$11)</f>
        <v/>
      </c>
      <c r="Q11" s="47">
        <f>'CF_Продажа'!Q7*'Вводные'!$B$11/(1+'Вводные'!$B$11)</f>
        <v/>
      </c>
      <c r="R11" s="47">
        <f>'CF_Продажа'!R7*'Вводные'!$B$11/(1+'Вводные'!$B$11)</f>
        <v/>
      </c>
      <c r="S11" s="47">
        <f>'CF_Продажа'!S7*'Вводные'!$B$11/(1+'Вводные'!$B$11)</f>
        <v/>
      </c>
      <c r="T11" s="47">
        <f>'CF_Продажа'!T7*'Вводные'!$B$11/(1+'Вводные'!$B$11)</f>
        <v/>
      </c>
      <c r="U11" s="47">
        <f>'CF_Продажа'!U7*'Вводные'!$B$11/(1+'Вводные'!$B$11)</f>
        <v/>
      </c>
      <c r="V11" s="47">
        <f>'CF_Продажа'!V7*'Вводные'!$B$11/(1+'Вводные'!$B$11)</f>
        <v/>
      </c>
      <c r="W11" s="47">
        <f>'CF_Продажа'!W7*'Вводные'!$B$11/(1+'Вводные'!$B$11)</f>
        <v/>
      </c>
      <c r="X11" s="47">
        <f>'CF_Продажа'!X7*'Вводные'!$B$11/(1+'Вводные'!$B$11)</f>
        <v/>
      </c>
      <c r="Y11" s="47">
        <f>'CF_Продажа'!Y7*'Вводные'!$B$11/(1+'Вводные'!$B$11)</f>
        <v/>
      </c>
      <c r="Z11" s="47">
        <f>'CF_Продажа'!Z7*'Вводные'!$B$11/(1+'Вводные'!$B$11)</f>
        <v/>
      </c>
      <c r="AA11" s="47">
        <f>'CF_Продажа'!AA7*'Вводные'!$B$11/(1+'Вводные'!$B$11)</f>
        <v/>
      </c>
      <c r="AB11" s="47">
        <f>'CF_Продажа'!AB7*'Вводные'!$B$11/(1+'Вводные'!$B$11)</f>
        <v/>
      </c>
      <c r="AC11" s="47">
        <f>'CF_Продажа'!AC7*'Вводные'!$B$11/(1+'Вводные'!$B$11)</f>
        <v/>
      </c>
      <c r="AD11" s="47">
        <f>'CF_Продажа'!AD7*'Вводные'!$B$11/(1+'Вводные'!$B$11)</f>
        <v/>
      </c>
      <c r="AE11" s="47">
        <f>'CF_Продажа'!AE7*'Вводные'!$B$11/(1+'Вводные'!$B$11)</f>
        <v/>
      </c>
      <c r="AF11" s="47">
        <f>'CF_Продажа'!AF7*'Вводные'!$B$11/(1+'Вводные'!$B$11)</f>
        <v/>
      </c>
      <c r="AG11" s="47">
        <f>'CF_Продажа'!AG7*'Вводные'!$B$11/(1+'Вводные'!$B$11)</f>
        <v/>
      </c>
      <c r="AH11" s="47">
        <f>'CF_Продажа'!AH7*'Вводные'!$B$11/(1+'Вводные'!$B$11)</f>
        <v/>
      </c>
      <c r="AI11" s="47">
        <f>'CF_Продажа'!AI7*'Вводные'!$B$11/(1+'Вводные'!$B$11)</f>
        <v/>
      </c>
      <c r="AJ11" s="47">
        <f>'CF_Продажа'!AJ7*'Вводные'!$B$11/(1+'Вводные'!$B$11)</f>
        <v/>
      </c>
      <c r="AK11" s="47">
        <f>'CF_Продажа'!AK7*'Вводные'!$B$11/(1+'Вводные'!$B$11)</f>
        <v/>
      </c>
      <c r="AL11" s="47">
        <f>'CF_Продажа'!AL7*'Вводные'!$B$11/(1+'Вводные'!$B$11)</f>
        <v/>
      </c>
      <c r="AM11" s="47">
        <f>'CF_Продажа'!AM7*'Вводные'!$B$11/(1+'Вводные'!$B$11)</f>
        <v/>
      </c>
      <c r="AN11" s="47">
        <f>'CF_Продажа'!AN7*'Вводные'!$B$11/(1+'Вводные'!$B$11)</f>
        <v/>
      </c>
      <c r="AO11" s="47">
        <f>'CF_Продажа'!AO7*'Вводные'!$B$11/(1+'Вводные'!$B$11)</f>
        <v/>
      </c>
      <c r="AP11" s="47">
        <f>'CF_Продажа'!AP7*'Вводные'!$B$11/(1+'Вводные'!$B$11)</f>
        <v/>
      </c>
      <c r="AQ11" s="47">
        <f>'CF_Продажа'!AQ7*'Вводные'!$B$11/(1+'Вводные'!$B$11)</f>
        <v/>
      </c>
      <c r="AR11" s="47">
        <f>'CF_Продажа'!AR7*'Вводные'!$B$11/(1+'Вводные'!$B$11)</f>
        <v/>
      </c>
      <c r="AS11" s="47">
        <f>'CF_Продажа'!AS7*'Вводные'!$B$11/(1+'Вводные'!$B$11)</f>
        <v/>
      </c>
      <c r="AT11" s="47">
        <f>'CF_Продажа'!AT7*'Вводные'!$B$11/(1+'Вводные'!$B$11)</f>
        <v/>
      </c>
      <c r="AU11" s="47">
        <f>'CF_Продажа'!AU7*'Вводные'!$B$11/(1+'Вводные'!$B$11)</f>
        <v/>
      </c>
      <c r="AV11" s="47">
        <f>'CF_Продажа'!AV7*'Вводные'!$B$11/(1+'Вводные'!$B$11)</f>
        <v/>
      </c>
      <c r="AW11" s="47">
        <f>'CF_Продажа'!AW7*'Вводные'!$B$11/(1+'Вводные'!$B$11)</f>
        <v/>
      </c>
      <c r="AX11" s="47">
        <f>'CF_Продажа'!AX7*'Вводные'!$B$11/(1+'Вводные'!$B$11)</f>
        <v/>
      </c>
      <c r="AY11" s="47">
        <f>'CF_Продажа'!AY7*'Вводные'!$B$11/(1+'Вводные'!$B$11)</f>
        <v/>
      </c>
      <c r="AZ11" s="47">
        <f>'CF_Продажа'!AZ7*'Вводные'!$B$11/(1+'Вводные'!$B$11)</f>
        <v/>
      </c>
      <c r="BA11" s="47">
        <f>'CF_Продажа'!BA7*'Вводные'!$B$11/(1+'Вводные'!$B$11)</f>
        <v/>
      </c>
      <c r="BB11" s="47">
        <f>'CF_Продажа'!BB7*'Вводные'!$B$11/(1+'Вводные'!$B$11)</f>
        <v/>
      </c>
      <c r="BC11" s="47">
        <f>'CF_Продажа'!BC7*'Вводные'!$B$11/(1+'Вводные'!$B$11)</f>
        <v/>
      </c>
      <c r="BD11" s="47">
        <f>'CF_Продажа'!BD7*'Вводные'!$B$11/(1+'Вводные'!$B$11)</f>
        <v/>
      </c>
      <c r="BE11" s="47">
        <f>'CF_Продажа'!BE7*'Вводные'!$B$11/(1+'Вводные'!$B$11)</f>
        <v/>
      </c>
      <c r="BF11" s="47">
        <f>'CF_Продажа'!BF7*'Вводные'!$B$11/(1+'Вводные'!$B$11)</f>
        <v/>
      </c>
      <c r="BG11" s="47">
        <f>'CF_Продажа'!BG7*'Вводные'!$B$11/(1+'Вводные'!$B$11)</f>
        <v/>
      </c>
      <c r="BH11" s="47">
        <f>'CF_Продажа'!BH7*'Вводные'!$B$11/(1+'Вводные'!$B$11)</f>
        <v/>
      </c>
      <c r="BI11" s="47">
        <f>'CF_Продажа'!BI7*'Вводные'!$B$11/(1+'Вводные'!$B$11)</f>
        <v/>
      </c>
      <c r="BJ11" s="47">
        <f>'CF_Продажа'!BJ7*'Вводные'!$B$11/(1+'Вводные'!$B$11)</f>
        <v/>
      </c>
      <c r="BK11" s="47">
        <f>'CF_Продажа'!BK7*'Вводные'!$B$11/(1+'Вводные'!$B$11)</f>
        <v/>
      </c>
      <c r="BL11" s="47">
        <f>'CF_Продажа'!BL7*'Вводные'!$B$11/(1+'Вводные'!$B$11)</f>
        <v/>
      </c>
      <c r="BM11" s="47">
        <f>'CF_Продажа'!BM7*'Вводные'!$B$11/(1+'Вводные'!$B$11)</f>
        <v/>
      </c>
      <c r="BN11" s="47">
        <f>'CF_Продажа'!BN7*'Вводные'!$B$11/(1+'Вводные'!$B$11)</f>
        <v/>
      </c>
      <c r="BO11" s="47">
        <f>'CF_Продажа'!BO7*'Вводные'!$B$11/(1+'Вводные'!$B$11)</f>
        <v/>
      </c>
      <c r="BP11" s="47">
        <f>'CF_Продажа'!BP7*'Вводные'!$B$11/(1+'Вводные'!$B$11)</f>
        <v/>
      </c>
      <c r="BQ11" s="47">
        <f>'CF_Продажа'!BQ7*'Вводные'!$B$11/(1+'Вводные'!$B$11)</f>
        <v/>
      </c>
      <c r="BR11" s="47">
        <f>'CF_Продажа'!BR7*'Вводные'!$B$11/(1+'Вводные'!$B$11)</f>
        <v/>
      </c>
      <c r="BS11" s="47">
        <f>'CF_Продажа'!BS7*'Вводные'!$B$11/(1+'Вводные'!$B$11)</f>
        <v/>
      </c>
      <c r="BT11" s="47">
        <f>'CF_Продажа'!BT7*'Вводные'!$B$11/(1+'Вводные'!$B$11)</f>
        <v/>
      </c>
      <c r="BU11" s="47">
        <f>'CF_Продажа'!BU7*'Вводные'!$B$11/(1+'Вводные'!$B$11)</f>
        <v/>
      </c>
      <c r="BV11" s="47">
        <f>'CF_Продажа'!BV7*'Вводные'!$B$11/(1+'Вводные'!$B$11)</f>
        <v/>
      </c>
      <c r="BW11" s="47">
        <f>'CF_Продажа'!BW7*'Вводные'!$B$11/(1+'Вводные'!$B$11)</f>
        <v/>
      </c>
      <c r="BX11" s="47">
        <f>'CF_Продажа'!BX7*'Вводные'!$B$11/(1+'Вводные'!$B$11)</f>
        <v/>
      </c>
      <c r="BY11" s="47">
        <f>'CF_Продажа'!BY7*'Вводные'!$B$11/(1+'Вводные'!$B$11)</f>
        <v/>
      </c>
      <c r="BZ11" s="47">
        <f>'CF_Продажа'!BZ7*'Вводные'!$B$11/(1+'Вводные'!$B$11)</f>
        <v/>
      </c>
      <c r="CA11" s="47">
        <f>'CF_Продажа'!CA7*'Вводные'!$B$11/(1+'Вводные'!$B$11)</f>
        <v/>
      </c>
      <c r="CB11" s="47">
        <f>'CF_Продажа'!CB7*'Вводные'!$B$11/(1+'Вводные'!$B$11)</f>
        <v/>
      </c>
      <c r="CC11" s="47">
        <f>'CF_Продажа'!CC7*'Вводные'!$B$11/(1+'Вводные'!$B$11)</f>
        <v/>
      </c>
      <c r="CD11" s="47">
        <f>'CF_Продажа'!CD7*'Вводные'!$B$11/(1+'Вводные'!$B$11)</f>
        <v/>
      </c>
      <c r="CE11" s="47">
        <f>'CF_Продажа'!CE7*'Вводные'!$B$11/(1+'Вводные'!$B$11)</f>
        <v/>
      </c>
      <c r="CF11" s="47">
        <f>'CF_Продажа'!CF7*'Вводные'!$B$11/(1+'Вводные'!$B$11)</f>
        <v/>
      </c>
      <c r="CG11" s="47">
        <f>'CF_Продажа'!CG7*'Вводные'!$B$11/(1+'Вводные'!$B$11)</f>
        <v/>
      </c>
      <c r="CH11" s="47">
        <f>'CF_Продажа'!CH7*'Вводные'!$B$11/(1+'Вводные'!$B$11)</f>
        <v/>
      </c>
      <c r="CI11" s="47">
        <f>'CF_Продажа'!CI7*'Вводные'!$B$11/(1+'Вводные'!$B$11)</f>
        <v/>
      </c>
      <c r="CJ11" s="47">
        <f>'CF_Продажа'!CJ7*'Вводные'!$B$11/(1+'Вводные'!$B$11)</f>
        <v/>
      </c>
      <c r="CK11" s="47">
        <f>'CF_Продажа'!CK7*'Вводные'!$B$11/(1+'Вводные'!$B$11)</f>
        <v/>
      </c>
      <c r="CL11" s="47">
        <f>'CF_Продажа'!CL7*'Вводные'!$B$11/(1+'Вводные'!$B$11)</f>
        <v/>
      </c>
      <c r="CM11" s="47">
        <f>'CF_Продажа'!CM7*'Вводные'!$B$11/(1+'Вводные'!$B$11)</f>
        <v/>
      </c>
      <c r="CN11" s="47">
        <f>'CF_Продажа'!CN7*'Вводные'!$B$11/(1+'Вводные'!$B$11)</f>
        <v/>
      </c>
      <c r="CO11" s="47">
        <f>'CF_Продажа'!CO7*'Вводные'!$B$11/(1+'Вводные'!$B$11)</f>
        <v/>
      </c>
      <c r="CP11" s="47">
        <f>'CF_Продажа'!CP7*'Вводные'!$B$11/(1+'Вводные'!$B$11)</f>
        <v/>
      </c>
      <c r="CQ11" s="47">
        <f>'CF_Продажа'!CQ7*'Вводные'!$B$11/(1+'Вводные'!$B$11)</f>
        <v/>
      </c>
      <c r="CR11" s="47">
        <f>'CF_Продажа'!CR7*'Вводные'!$B$11/(1+'Вводные'!$B$11)</f>
        <v/>
      </c>
      <c r="CS11" s="47">
        <f>'CF_Продажа'!CS7*'Вводные'!$B$11/(1+'Вводные'!$B$11)</f>
        <v/>
      </c>
      <c r="CT11" s="47">
        <f>'CF_Продажа'!CT7*'Вводные'!$B$11/(1+'Вводные'!$B$11)</f>
        <v/>
      </c>
      <c r="CU11" s="47">
        <f>'CF_Продажа'!CU7*'Вводные'!$B$11/(1+'Вводные'!$B$11)</f>
        <v/>
      </c>
      <c r="CV11" s="47">
        <f>'CF_Продажа'!CV7*'Вводные'!$B$11/(1+'Вводные'!$B$11)</f>
        <v/>
      </c>
      <c r="CW11" s="47">
        <f>'CF_Продажа'!CW7*'Вводные'!$B$11/(1+'Вводные'!$B$11)</f>
        <v/>
      </c>
      <c r="CX11" s="47">
        <f>'CF_Продажа'!CX7*'Вводные'!$B$11/(1+'Вводные'!$B$11)</f>
        <v/>
      </c>
      <c r="CY11" s="47">
        <f>'CF_Продажа'!CY7*'Вводные'!$B$11/(1+'Вводные'!$B$11)</f>
        <v/>
      </c>
      <c r="CZ11" s="47">
        <f>'CF_Продажа'!CZ7*'Вводные'!$B$11/(1+'Вводные'!$B$11)</f>
        <v/>
      </c>
      <c r="DA11" s="47">
        <f>'CF_Продажа'!DA7*'Вводные'!$B$11/(1+'Вводные'!$B$11)</f>
        <v/>
      </c>
      <c r="DB11" s="47">
        <f>'CF_Продажа'!DB7*'Вводные'!$B$11/(1+'Вводные'!$B$11)</f>
        <v/>
      </c>
      <c r="DC11" s="47">
        <f>'CF_Продажа'!DC7*'Вводные'!$B$11/(1+'Вводные'!$B$11)</f>
        <v/>
      </c>
      <c r="DD11" s="47">
        <f>'CF_Продажа'!DD7*'Вводные'!$B$11/(1+'Вводные'!$B$11)</f>
        <v/>
      </c>
      <c r="DE11" s="47">
        <f>'CF_Продажа'!DE7*'Вводные'!$B$11/(1+'Вводные'!$B$11)</f>
        <v/>
      </c>
      <c r="DF11" s="47">
        <f>'CF_Продажа'!DF7*'Вводные'!$B$11/(1+'Вводные'!$B$11)</f>
        <v/>
      </c>
      <c r="DG11" s="47">
        <f>'CF_Продажа'!DG7*'Вводные'!$B$11/(1+'Вводные'!$B$11)</f>
        <v/>
      </c>
      <c r="DH11" s="47">
        <f>'CF_Продажа'!DH7*'Вводные'!$B$11/(1+'Вводные'!$B$11)</f>
        <v/>
      </c>
      <c r="DI11" s="47">
        <f>'CF_Продажа'!DI7*'Вводные'!$B$11/(1+'Вводные'!$B$11)</f>
        <v/>
      </c>
      <c r="DJ11" s="47">
        <f>'CF_Продажа'!DJ7*'Вводные'!$B$11/(1+'Вводные'!$B$11)</f>
        <v/>
      </c>
      <c r="DK11" s="47">
        <f>'CF_Продажа'!DK7*'Вводные'!$B$11/(1+'Вводные'!$B$11)</f>
        <v/>
      </c>
      <c r="DL11" s="47">
        <f>'CF_Продажа'!DL7*'Вводные'!$B$11/(1+'Вводные'!$B$11)</f>
        <v/>
      </c>
      <c r="DM11" s="47">
        <f>'CF_Продажа'!DM7*'Вводные'!$B$11/(1+'Вводные'!$B$11)</f>
        <v/>
      </c>
    </row>
    <row r="12">
      <c r="A12" s="36" t="inlineStr">
        <is>
          <t>НДС к вычету накоплено до зачёта</t>
        </is>
      </c>
      <c r="B12" s="10" t="n"/>
      <c r="C12" s="37" t="inlineStr">
        <is>
          <t>млн ₽</t>
        </is>
      </c>
      <c r="D12" s="47">
        <f>'CAPEX'!D5*'Вводные'!$B$11/(1+'Вводные'!$B$11)-'CF_Продажа'!D11</f>
        <v/>
      </c>
      <c r="E12" s="47">
        <f>'CF_Продажа'!D14+'CAPEX'!E5*'Вводные'!$B$11/(1+'Вводные'!$B$11)*'CF_Продажа'!E6-'CF_Продажа'!E11</f>
        <v/>
      </c>
      <c r="F12" s="47">
        <f>'CF_Продажа'!E14+'CAPEX'!F5*'Вводные'!$B$11/(1+'Вводные'!$B$11)*'CF_Продажа'!F6-'CF_Продажа'!F11</f>
        <v/>
      </c>
      <c r="G12" s="47">
        <f>'CF_Продажа'!F14+'CAPEX'!G5*'Вводные'!$B$11/(1+'Вводные'!$B$11)*'CF_Продажа'!G6-'CF_Продажа'!G11</f>
        <v/>
      </c>
      <c r="H12" s="47">
        <f>'CF_Продажа'!G14+'CAPEX'!H5*'Вводные'!$B$11/(1+'Вводные'!$B$11)*'CF_Продажа'!H6-'CF_Продажа'!H11</f>
        <v/>
      </c>
      <c r="I12" s="47">
        <f>'CF_Продажа'!H14+'CAPEX'!I5*'Вводные'!$B$11/(1+'Вводные'!$B$11)*'CF_Продажа'!I6-'CF_Продажа'!I11</f>
        <v/>
      </c>
      <c r="J12" s="47">
        <f>'CF_Продажа'!I14+'CAPEX'!J5*'Вводные'!$B$11/(1+'Вводные'!$B$11)*'CF_Продажа'!J6-'CF_Продажа'!J11</f>
        <v/>
      </c>
      <c r="K12" s="47">
        <f>'CF_Продажа'!J14+'CAPEX'!K5*'Вводные'!$B$11/(1+'Вводные'!$B$11)*'CF_Продажа'!K6-'CF_Продажа'!K11</f>
        <v/>
      </c>
      <c r="L12" s="47">
        <f>'CF_Продажа'!K14+'CAPEX'!L5*'Вводные'!$B$11/(1+'Вводные'!$B$11)*'CF_Продажа'!L6-'CF_Продажа'!L11</f>
        <v/>
      </c>
      <c r="M12" s="47">
        <f>'CF_Продажа'!L14+'CAPEX'!M5*'Вводные'!$B$11/(1+'Вводные'!$B$11)*'CF_Продажа'!M6-'CF_Продажа'!M11</f>
        <v/>
      </c>
      <c r="N12" s="47">
        <f>'CF_Продажа'!M14+'CAPEX'!N5*'Вводные'!$B$11/(1+'Вводные'!$B$11)*'CF_Продажа'!N6-'CF_Продажа'!N11</f>
        <v/>
      </c>
      <c r="O12" s="47">
        <f>'CF_Продажа'!N14+'CAPEX'!O5*'Вводные'!$B$11/(1+'Вводные'!$B$11)*'CF_Продажа'!O6-'CF_Продажа'!O11</f>
        <v/>
      </c>
      <c r="P12" s="47">
        <f>'CF_Продажа'!O14+'CAPEX'!P5*'Вводные'!$B$11/(1+'Вводные'!$B$11)*'CF_Продажа'!P6-'CF_Продажа'!P11</f>
        <v/>
      </c>
      <c r="Q12" s="47">
        <f>'CF_Продажа'!P14+'CAPEX'!Q5*'Вводные'!$B$11/(1+'Вводные'!$B$11)*'CF_Продажа'!Q6-'CF_Продажа'!Q11</f>
        <v/>
      </c>
      <c r="R12" s="47">
        <f>'CF_Продажа'!Q14+'CAPEX'!R5*'Вводные'!$B$11/(1+'Вводные'!$B$11)*'CF_Продажа'!R6-'CF_Продажа'!R11</f>
        <v/>
      </c>
      <c r="S12" s="47">
        <f>'CF_Продажа'!R14+'CAPEX'!S5*'Вводные'!$B$11/(1+'Вводные'!$B$11)*'CF_Продажа'!S6-'CF_Продажа'!S11</f>
        <v/>
      </c>
      <c r="T12" s="47">
        <f>'CF_Продажа'!S14+'CAPEX'!T5*'Вводные'!$B$11/(1+'Вводные'!$B$11)*'CF_Продажа'!T6-'CF_Продажа'!T11</f>
        <v/>
      </c>
      <c r="U12" s="47">
        <f>'CF_Продажа'!T14+'CAPEX'!U5*'Вводные'!$B$11/(1+'Вводные'!$B$11)*'CF_Продажа'!U6-'CF_Продажа'!U11</f>
        <v/>
      </c>
      <c r="V12" s="47">
        <f>'CF_Продажа'!U14+'CAPEX'!V5*'Вводные'!$B$11/(1+'Вводные'!$B$11)*'CF_Продажа'!V6-'CF_Продажа'!V11</f>
        <v/>
      </c>
      <c r="W12" s="47">
        <f>'CF_Продажа'!V14+'CAPEX'!W5*'Вводные'!$B$11/(1+'Вводные'!$B$11)*'CF_Продажа'!W6-'CF_Продажа'!W11</f>
        <v/>
      </c>
      <c r="X12" s="47">
        <f>'CF_Продажа'!W14+'CAPEX'!X5*'Вводные'!$B$11/(1+'Вводные'!$B$11)*'CF_Продажа'!X6-'CF_Продажа'!X11</f>
        <v/>
      </c>
      <c r="Y12" s="47">
        <f>'CF_Продажа'!X14+'CAPEX'!Y5*'Вводные'!$B$11/(1+'Вводные'!$B$11)*'CF_Продажа'!Y6-'CF_Продажа'!Y11</f>
        <v/>
      </c>
      <c r="Z12" s="47">
        <f>'CF_Продажа'!Y14+'CAPEX'!Z5*'Вводные'!$B$11/(1+'Вводные'!$B$11)*'CF_Продажа'!Z6-'CF_Продажа'!Z11</f>
        <v/>
      </c>
      <c r="AA12" s="47">
        <f>'CF_Продажа'!Z14+'CAPEX'!AA5*'Вводные'!$B$11/(1+'Вводные'!$B$11)*'CF_Продажа'!AA6-'CF_Продажа'!AA11</f>
        <v/>
      </c>
      <c r="AB12" s="47">
        <f>'CF_Продажа'!AA14+'CAPEX'!AB5*'Вводные'!$B$11/(1+'Вводные'!$B$11)*'CF_Продажа'!AB6-'CF_Продажа'!AB11</f>
        <v/>
      </c>
      <c r="AC12" s="47">
        <f>'CF_Продажа'!AB14+'CAPEX'!AC5*'Вводные'!$B$11/(1+'Вводные'!$B$11)*'CF_Продажа'!AC6-'CF_Продажа'!AC11</f>
        <v/>
      </c>
      <c r="AD12" s="47">
        <f>'CF_Продажа'!AC14+'CAPEX'!AD5*'Вводные'!$B$11/(1+'Вводные'!$B$11)*'CF_Продажа'!AD6-'CF_Продажа'!AD11</f>
        <v/>
      </c>
      <c r="AE12" s="47">
        <f>'CF_Продажа'!AD14+'CAPEX'!AE5*'Вводные'!$B$11/(1+'Вводные'!$B$11)*'CF_Продажа'!AE6-'CF_Продажа'!AE11</f>
        <v/>
      </c>
      <c r="AF12" s="47">
        <f>'CF_Продажа'!AE14+'CAPEX'!AF5*'Вводные'!$B$11/(1+'Вводные'!$B$11)*'CF_Продажа'!AF6-'CF_Продажа'!AF11</f>
        <v/>
      </c>
      <c r="AG12" s="47">
        <f>'CF_Продажа'!AF14+'CAPEX'!AG5*'Вводные'!$B$11/(1+'Вводные'!$B$11)*'CF_Продажа'!AG6-'CF_Продажа'!AG11</f>
        <v/>
      </c>
      <c r="AH12" s="47">
        <f>'CF_Продажа'!AG14+'CAPEX'!AH5*'Вводные'!$B$11/(1+'Вводные'!$B$11)*'CF_Продажа'!AH6-'CF_Продажа'!AH11</f>
        <v/>
      </c>
      <c r="AI12" s="47">
        <f>'CF_Продажа'!AH14+'CAPEX'!AI5*'Вводные'!$B$11/(1+'Вводные'!$B$11)*'CF_Продажа'!AI6-'CF_Продажа'!AI11</f>
        <v/>
      </c>
      <c r="AJ12" s="47">
        <f>'CF_Продажа'!AI14+'CAPEX'!AJ5*'Вводные'!$B$11/(1+'Вводные'!$B$11)*'CF_Продажа'!AJ6-'CF_Продажа'!AJ11</f>
        <v/>
      </c>
      <c r="AK12" s="47">
        <f>'CF_Продажа'!AJ14+'CAPEX'!AK5*'Вводные'!$B$11/(1+'Вводные'!$B$11)*'CF_Продажа'!AK6-'CF_Продажа'!AK11</f>
        <v/>
      </c>
      <c r="AL12" s="47">
        <f>'CF_Продажа'!AK14+'CAPEX'!AL5*'Вводные'!$B$11/(1+'Вводные'!$B$11)*'CF_Продажа'!AL6-'CF_Продажа'!AL11</f>
        <v/>
      </c>
      <c r="AM12" s="47">
        <f>'CF_Продажа'!AL14+'CAPEX'!AM5*'Вводные'!$B$11/(1+'Вводные'!$B$11)*'CF_Продажа'!AM6-'CF_Продажа'!AM11</f>
        <v/>
      </c>
      <c r="AN12" s="47">
        <f>'CF_Продажа'!AM14+'CAPEX'!AN5*'Вводные'!$B$11/(1+'Вводные'!$B$11)*'CF_Продажа'!AN6-'CF_Продажа'!AN11</f>
        <v/>
      </c>
      <c r="AO12" s="47">
        <f>'CF_Продажа'!AN14+'CAPEX'!AO5*'Вводные'!$B$11/(1+'Вводные'!$B$11)*'CF_Продажа'!AO6-'CF_Продажа'!AO11</f>
        <v/>
      </c>
      <c r="AP12" s="47">
        <f>'CF_Продажа'!AO14+'CAPEX'!AP5*'Вводные'!$B$11/(1+'Вводные'!$B$11)*'CF_Продажа'!AP6-'CF_Продажа'!AP11</f>
        <v/>
      </c>
      <c r="AQ12" s="47">
        <f>'CF_Продажа'!AP14+'CAPEX'!AQ5*'Вводные'!$B$11/(1+'Вводные'!$B$11)*'CF_Продажа'!AQ6-'CF_Продажа'!AQ11</f>
        <v/>
      </c>
      <c r="AR12" s="47">
        <f>'CF_Продажа'!AQ14+'CAPEX'!AR5*'Вводные'!$B$11/(1+'Вводные'!$B$11)*'CF_Продажа'!AR6-'CF_Продажа'!AR11</f>
        <v/>
      </c>
      <c r="AS12" s="47">
        <f>'CF_Продажа'!AR14+'CAPEX'!AS5*'Вводные'!$B$11/(1+'Вводные'!$B$11)*'CF_Продажа'!AS6-'CF_Продажа'!AS11</f>
        <v/>
      </c>
      <c r="AT12" s="47">
        <f>'CF_Продажа'!AS14+'CAPEX'!AT5*'Вводные'!$B$11/(1+'Вводные'!$B$11)*'CF_Продажа'!AT6-'CF_Продажа'!AT11</f>
        <v/>
      </c>
      <c r="AU12" s="47">
        <f>'CF_Продажа'!AT14+'CAPEX'!AU5*'Вводные'!$B$11/(1+'Вводные'!$B$11)*'CF_Продажа'!AU6-'CF_Продажа'!AU11</f>
        <v/>
      </c>
      <c r="AV12" s="47">
        <f>'CF_Продажа'!AU14+'CAPEX'!AV5*'Вводные'!$B$11/(1+'Вводные'!$B$11)*'CF_Продажа'!AV6-'CF_Продажа'!AV11</f>
        <v/>
      </c>
      <c r="AW12" s="47">
        <f>'CF_Продажа'!AV14+'CAPEX'!AW5*'Вводные'!$B$11/(1+'Вводные'!$B$11)*'CF_Продажа'!AW6-'CF_Продажа'!AW11</f>
        <v/>
      </c>
      <c r="AX12" s="47">
        <f>'CF_Продажа'!AW14+'CAPEX'!AX5*'Вводные'!$B$11/(1+'Вводные'!$B$11)*'CF_Продажа'!AX6-'CF_Продажа'!AX11</f>
        <v/>
      </c>
      <c r="AY12" s="47">
        <f>'CF_Продажа'!AX14+'CAPEX'!AY5*'Вводные'!$B$11/(1+'Вводные'!$B$11)*'CF_Продажа'!AY6-'CF_Продажа'!AY11</f>
        <v/>
      </c>
      <c r="AZ12" s="47">
        <f>'CF_Продажа'!AY14+'CAPEX'!AZ5*'Вводные'!$B$11/(1+'Вводные'!$B$11)*'CF_Продажа'!AZ6-'CF_Продажа'!AZ11</f>
        <v/>
      </c>
      <c r="BA12" s="47">
        <f>'CF_Продажа'!AZ14+'CAPEX'!BA5*'Вводные'!$B$11/(1+'Вводные'!$B$11)*'CF_Продажа'!BA6-'CF_Продажа'!BA11</f>
        <v/>
      </c>
      <c r="BB12" s="47">
        <f>'CF_Продажа'!BA14+'CAPEX'!BB5*'Вводные'!$B$11/(1+'Вводные'!$B$11)*'CF_Продажа'!BB6-'CF_Продажа'!BB11</f>
        <v/>
      </c>
      <c r="BC12" s="47">
        <f>'CF_Продажа'!BB14+'CAPEX'!BC5*'Вводные'!$B$11/(1+'Вводные'!$B$11)*'CF_Продажа'!BC6-'CF_Продажа'!BC11</f>
        <v/>
      </c>
      <c r="BD12" s="47">
        <f>'CF_Продажа'!BC14+'CAPEX'!BD5*'Вводные'!$B$11/(1+'Вводные'!$B$11)*'CF_Продажа'!BD6-'CF_Продажа'!BD11</f>
        <v/>
      </c>
      <c r="BE12" s="47">
        <f>'CF_Продажа'!BD14+'CAPEX'!BE5*'Вводные'!$B$11/(1+'Вводные'!$B$11)*'CF_Продажа'!BE6-'CF_Продажа'!BE11</f>
        <v/>
      </c>
      <c r="BF12" s="47">
        <f>'CF_Продажа'!BE14+'CAPEX'!BF5*'Вводные'!$B$11/(1+'Вводные'!$B$11)*'CF_Продажа'!BF6-'CF_Продажа'!BF11</f>
        <v/>
      </c>
      <c r="BG12" s="47">
        <f>'CF_Продажа'!BF14+'CAPEX'!BG5*'Вводные'!$B$11/(1+'Вводные'!$B$11)*'CF_Продажа'!BG6-'CF_Продажа'!BG11</f>
        <v/>
      </c>
      <c r="BH12" s="47">
        <f>'CF_Продажа'!BG14+'CAPEX'!BH5*'Вводные'!$B$11/(1+'Вводные'!$B$11)*'CF_Продажа'!BH6-'CF_Продажа'!BH11</f>
        <v/>
      </c>
      <c r="BI12" s="47">
        <f>'CF_Продажа'!BH14+'CAPEX'!BI5*'Вводные'!$B$11/(1+'Вводные'!$B$11)*'CF_Продажа'!BI6-'CF_Продажа'!BI11</f>
        <v/>
      </c>
      <c r="BJ12" s="47">
        <f>'CF_Продажа'!BI14+'CAPEX'!BJ5*'Вводные'!$B$11/(1+'Вводные'!$B$11)*'CF_Продажа'!BJ6-'CF_Продажа'!BJ11</f>
        <v/>
      </c>
      <c r="BK12" s="47">
        <f>'CF_Продажа'!BJ14+'CAPEX'!BK5*'Вводные'!$B$11/(1+'Вводные'!$B$11)*'CF_Продажа'!BK6-'CF_Продажа'!BK11</f>
        <v/>
      </c>
      <c r="BL12" s="47">
        <f>'CF_Продажа'!BK14+'CAPEX'!BL5*'Вводные'!$B$11/(1+'Вводные'!$B$11)*'CF_Продажа'!BL6-'CF_Продажа'!BL11</f>
        <v/>
      </c>
      <c r="BM12" s="47">
        <f>'CF_Продажа'!BL14+'CAPEX'!BM5*'Вводные'!$B$11/(1+'Вводные'!$B$11)*'CF_Продажа'!BM6-'CF_Продажа'!BM11</f>
        <v/>
      </c>
      <c r="BN12" s="47">
        <f>'CF_Продажа'!BM14+'CAPEX'!BN5*'Вводные'!$B$11/(1+'Вводные'!$B$11)*'CF_Продажа'!BN6-'CF_Продажа'!BN11</f>
        <v/>
      </c>
      <c r="BO12" s="47">
        <f>'CF_Продажа'!BN14+'CAPEX'!BO5*'Вводные'!$B$11/(1+'Вводные'!$B$11)*'CF_Продажа'!BO6-'CF_Продажа'!BO11</f>
        <v/>
      </c>
      <c r="BP12" s="47">
        <f>'CF_Продажа'!BO14+'CAPEX'!BP5*'Вводные'!$B$11/(1+'Вводные'!$B$11)*'CF_Продажа'!BP6-'CF_Продажа'!BP11</f>
        <v/>
      </c>
      <c r="BQ12" s="47">
        <f>'CF_Продажа'!BP14+'CAPEX'!BQ5*'Вводные'!$B$11/(1+'Вводные'!$B$11)*'CF_Продажа'!BQ6-'CF_Продажа'!BQ11</f>
        <v/>
      </c>
      <c r="BR12" s="47">
        <f>'CF_Продажа'!BQ14+'CAPEX'!BR5*'Вводные'!$B$11/(1+'Вводные'!$B$11)*'CF_Продажа'!BR6-'CF_Продажа'!BR11</f>
        <v/>
      </c>
      <c r="BS12" s="47">
        <f>'CF_Продажа'!BR14+'CAPEX'!BS5*'Вводные'!$B$11/(1+'Вводные'!$B$11)*'CF_Продажа'!BS6-'CF_Продажа'!BS11</f>
        <v/>
      </c>
      <c r="BT12" s="47">
        <f>'CF_Продажа'!BS14+'CAPEX'!BT5*'Вводные'!$B$11/(1+'Вводные'!$B$11)*'CF_Продажа'!BT6-'CF_Продажа'!BT11</f>
        <v/>
      </c>
      <c r="BU12" s="47">
        <f>'CF_Продажа'!BT14+'CAPEX'!BU5*'Вводные'!$B$11/(1+'Вводные'!$B$11)*'CF_Продажа'!BU6-'CF_Продажа'!BU11</f>
        <v/>
      </c>
      <c r="BV12" s="47">
        <f>'CF_Продажа'!BU14+'CAPEX'!BV5*'Вводные'!$B$11/(1+'Вводные'!$B$11)*'CF_Продажа'!BV6-'CF_Продажа'!BV11</f>
        <v/>
      </c>
      <c r="BW12" s="47">
        <f>'CF_Продажа'!BV14+'CAPEX'!BW5*'Вводные'!$B$11/(1+'Вводные'!$B$11)*'CF_Продажа'!BW6-'CF_Продажа'!BW11</f>
        <v/>
      </c>
      <c r="BX12" s="47">
        <f>'CF_Продажа'!BW14+'CAPEX'!BX5*'Вводные'!$B$11/(1+'Вводные'!$B$11)*'CF_Продажа'!BX6-'CF_Продажа'!BX11</f>
        <v/>
      </c>
      <c r="BY12" s="47">
        <f>'CF_Продажа'!BX14+'CAPEX'!BY5*'Вводные'!$B$11/(1+'Вводные'!$B$11)*'CF_Продажа'!BY6-'CF_Продажа'!BY11</f>
        <v/>
      </c>
      <c r="BZ12" s="47">
        <f>'CF_Продажа'!BY14+'CAPEX'!BZ5*'Вводные'!$B$11/(1+'Вводные'!$B$11)*'CF_Продажа'!BZ6-'CF_Продажа'!BZ11</f>
        <v/>
      </c>
      <c r="CA12" s="47">
        <f>'CF_Продажа'!BZ14+'CAPEX'!CA5*'Вводные'!$B$11/(1+'Вводные'!$B$11)*'CF_Продажа'!CA6-'CF_Продажа'!CA11</f>
        <v/>
      </c>
      <c r="CB12" s="47">
        <f>'CF_Продажа'!CA14+'CAPEX'!CB5*'Вводные'!$B$11/(1+'Вводные'!$B$11)*'CF_Продажа'!CB6-'CF_Продажа'!CB11</f>
        <v/>
      </c>
      <c r="CC12" s="47">
        <f>'CF_Продажа'!CB14+'CAPEX'!CC5*'Вводные'!$B$11/(1+'Вводные'!$B$11)*'CF_Продажа'!CC6-'CF_Продажа'!CC11</f>
        <v/>
      </c>
      <c r="CD12" s="47">
        <f>'CF_Продажа'!CC14+'CAPEX'!CD5*'Вводные'!$B$11/(1+'Вводные'!$B$11)*'CF_Продажа'!CD6-'CF_Продажа'!CD11</f>
        <v/>
      </c>
      <c r="CE12" s="47">
        <f>'CF_Продажа'!CD14+'CAPEX'!CE5*'Вводные'!$B$11/(1+'Вводные'!$B$11)*'CF_Продажа'!CE6-'CF_Продажа'!CE11</f>
        <v/>
      </c>
      <c r="CF12" s="47">
        <f>'CF_Продажа'!CE14+'CAPEX'!CF5*'Вводные'!$B$11/(1+'Вводные'!$B$11)*'CF_Продажа'!CF6-'CF_Продажа'!CF11</f>
        <v/>
      </c>
      <c r="CG12" s="47">
        <f>'CF_Продажа'!CF14+'CAPEX'!CG5*'Вводные'!$B$11/(1+'Вводные'!$B$11)*'CF_Продажа'!CG6-'CF_Продажа'!CG11</f>
        <v/>
      </c>
      <c r="CH12" s="47">
        <f>'CF_Продажа'!CG14+'CAPEX'!CH5*'Вводные'!$B$11/(1+'Вводные'!$B$11)*'CF_Продажа'!CH6-'CF_Продажа'!CH11</f>
        <v/>
      </c>
      <c r="CI12" s="47">
        <f>'CF_Продажа'!CH14+'CAPEX'!CI5*'Вводные'!$B$11/(1+'Вводные'!$B$11)*'CF_Продажа'!CI6-'CF_Продажа'!CI11</f>
        <v/>
      </c>
      <c r="CJ12" s="47">
        <f>'CF_Продажа'!CI14+'CAPEX'!CJ5*'Вводные'!$B$11/(1+'Вводные'!$B$11)*'CF_Продажа'!CJ6-'CF_Продажа'!CJ11</f>
        <v/>
      </c>
      <c r="CK12" s="47">
        <f>'CF_Продажа'!CJ14+'CAPEX'!CK5*'Вводные'!$B$11/(1+'Вводные'!$B$11)*'CF_Продажа'!CK6-'CF_Продажа'!CK11</f>
        <v/>
      </c>
      <c r="CL12" s="47">
        <f>'CF_Продажа'!CK14+'CAPEX'!CL5*'Вводные'!$B$11/(1+'Вводные'!$B$11)*'CF_Продажа'!CL6-'CF_Продажа'!CL11</f>
        <v/>
      </c>
      <c r="CM12" s="47">
        <f>'CF_Продажа'!CL14+'CAPEX'!CM5*'Вводные'!$B$11/(1+'Вводные'!$B$11)*'CF_Продажа'!CM6-'CF_Продажа'!CM11</f>
        <v/>
      </c>
      <c r="CN12" s="47">
        <f>'CF_Продажа'!CM14+'CAPEX'!CN5*'Вводные'!$B$11/(1+'Вводные'!$B$11)*'CF_Продажа'!CN6-'CF_Продажа'!CN11</f>
        <v/>
      </c>
      <c r="CO12" s="47">
        <f>'CF_Продажа'!CN14+'CAPEX'!CO5*'Вводные'!$B$11/(1+'Вводные'!$B$11)*'CF_Продажа'!CO6-'CF_Продажа'!CO11</f>
        <v/>
      </c>
      <c r="CP12" s="47">
        <f>'CF_Продажа'!CO14+'CAPEX'!CP5*'Вводные'!$B$11/(1+'Вводные'!$B$11)*'CF_Продажа'!CP6-'CF_Продажа'!CP11</f>
        <v/>
      </c>
      <c r="CQ12" s="47">
        <f>'CF_Продажа'!CP14+'CAPEX'!CQ5*'Вводные'!$B$11/(1+'Вводные'!$B$11)*'CF_Продажа'!CQ6-'CF_Продажа'!CQ11</f>
        <v/>
      </c>
      <c r="CR12" s="47">
        <f>'CF_Продажа'!CQ14+'CAPEX'!CR5*'Вводные'!$B$11/(1+'Вводные'!$B$11)*'CF_Продажа'!CR6-'CF_Продажа'!CR11</f>
        <v/>
      </c>
      <c r="CS12" s="47">
        <f>'CF_Продажа'!CR14+'CAPEX'!CS5*'Вводные'!$B$11/(1+'Вводные'!$B$11)*'CF_Продажа'!CS6-'CF_Продажа'!CS11</f>
        <v/>
      </c>
      <c r="CT12" s="47">
        <f>'CF_Продажа'!CS14+'CAPEX'!CT5*'Вводные'!$B$11/(1+'Вводные'!$B$11)*'CF_Продажа'!CT6-'CF_Продажа'!CT11</f>
        <v/>
      </c>
      <c r="CU12" s="47">
        <f>'CF_Продажа'!CT14+'CAPEX'!CU5*'Вводные'!$B$11/(1+'Вводные'!$B$11)*'CF_Продажа'!CU6-'CF_Продажа'!CU11</f>
        <v/>
      </c>
      <c r="CV12" s="47">
        <f>'CF_Продажа'!CU14+'CAPEX'!CV5*'Вводные'!$B$11/(1+'Вводные'!$B$11)*'CF_Продажа'!CV6-'CF_Продажа'!CV11</f>
        <v/>
      </c>
      <c r="CW12" s="47">
        <f>'CF_Продажа'!CV14+'CAPEX'!CW5*'Вводные'!$B$11/(1+'Вводные'!$B$11)*'CF_Продажа'!CW6-'CF_Продажа'!CW11</f>
        <v/>
      </c>
      <c r="CX12" s="47">
        <f>'CF_Продажа'!CW14+'CAPEX'!CX5*'Вводные'!$B$11/(1+'Вводные'!$B$11)*'CF_Продажа'!CX6-'CF_Продажа'!CX11</f>
        <v/>
      </c>
      <c r="CY12" s="47">
        <f>'CF_Продажа'!CX14+'CAPEX'!CY5*'Вводные'!$B$11/(1+'Вводные'!$B$11)*'CF_Продажа'!CY6-'CF_Продажа'!CY11</f>
        <v/>
      </c>
      <c r="CZ12" s="47">
        <f>'CF_Продажа'!CY14+'CAPEX'!CZ5*'Вводные'!$B$11/(1+'Вводные'!$B$11)*'CF_Продажа'!CZ6-'CF_Продажа'!CZ11</f>
        <v/>
      </c>
      <c r="DA12" s="47">
        <f>'CF_Продажа'!CZ14+'CAPEX'!DA5*'Вводные'!$B$11/(1+'Вводные'!$B$11)*'CF_Продажа'!DA6-'CF_Продажа'!DA11</f>
        <v/>
      </c>
      <c r="DB12" s="47">
        <f>'CF_Продажа'!DA14+'CAPEX'!DB5*'Вводные'!$B$11/(1+'Вводные'!$B$11)*'CF_Продажа'!DB6-'CF_Продажа'!DB11</f>
        <v/>
      </c>
      <c r="DC12" s="47">
        <f>'CF_Продажа'!DB14+'CAPEX'!DC5*'Вводные'!$B$11/(1+'Вводные'!$B$11)*'CF_Продажа'!DC6-'CF_Продажа'!DC11</f>
        <v/>
      </c>
      <c r="DD12" s="47">
        <f>'CF_Продажа'!DC14+'CAPEX'!DD5*'Вводные'!$B$11/(1+'Вводные'!$B$11)*'CF_Продажа'!DD6-'CF_Продажа'!DD11</f>
        <v/>
      </c>
      <c r="DE12" s="47">
        <f>'CF_Продажа'!DD14+'CAPEX'!DE5*'Вводные'!$B$11/(1+'Вводные'!$B$11)*'CF_Продажа'!DE6-'CF_Продажа'!DE11</f>
        <v/>
      </c>
      <c r="DF12" s="47">
        <f>'CF_Продажа'!DE14+'CAPEX'!DF5*'Вводные'!$B$11/(1+'Вводные'!$B$11)*'CF_Продажа'!DF6-'CF_Продажа'!DF11</f>
        <v/>
      </c>
      <c r="DG12" s="47">
        <f>'CF_Продажа'!DF14+'CAPEX'!DG5*'Вводные'!$B$11/(1+'Вводные'!$B$11)*'CF_Продажа'!DG6-'CF_Продажа'!DG11</f>
        <v/>
      </c>
      <c r="DH12" s="47">
        <f>'CF_Продажа'!DG14+'CAPEX'!DH5*'Вводные'!$B$11/(1+'Вводные'!$B$11)*'CF_Продажа'!DH6-'CF_Продажа'!DH11</f>
        <v/>
      </c>
      <c r="DI12" s="47">
        <f>'CF_Продажа'!DH14+'CAPEX'!DI5*'Вводные'!$B$11/(1+'Вводные'!$B$11)*'CF_Продажа'!DI6-'CF_Продажа'!DI11</f>
        <v/>
      </c>
      <c r="DJ12" s="47">
        <f>'CF_Продажа'!DI14+'CAPEX'!DJ5*'Вводные'!$B$11/(1+'Вводные'!$B$11)*'CF_Продажа'!DJ6-'CF_Продажа'!DJ11</f>
        <v/>
      </c>
      <c r="DK12" s="47">
        <f>'CF_Продажа'!DJ14+'CAPEX'!DK5*'Вводные'!$B$11/(1+'Вводные'!$B$11)*'CF_Продажа'!DK6-'CF_Продажа'!DK11</f>
        <v/>
      </c>
      <c r="DL12" s="47">
        <f>'CF_Продажа'!DK14+'CAPEX'!DL5*'Вводные'!$B$11/(1+'Вводные'!$B$11)*'CF_Продажа'!DL6-'CF_Продажа'!DL11</f>
        <v/>
      </c>
      <c r="DM12" s="47">
        <f>'CF_Продажа'!DL14+'CAPEX'!DM5*'Вводные'!$B$11/(1+'Вводные'!$B$11)*'CF_Продажа'!DM6-'CF_Продажа'!DM11</f>
        <v/>
      </c>
    </row>
    <row r="13">
      <c r="A13" s="36" t="inlineStr">
        <is>
          <t>НДС уплачен (минус — возмещён)</t>
        </is>
      </c>
      <c r="B13" s="40">
        <f>SUM(D13:DM13)</f>
        <v/>
      </c>
      <c r="C13" s="37" t="inlineStr">
        <is>
          <t>млн ₽</t>
        </is>
      </c>
      <c r="D13" s="47">
        <f>IF(AND('СРОКИ'!D12=1,'CF_Продажа'!D12&gt;0),-'CF_Продажа'!D12,IF('CF_Продажа'!D12&lt;0,-'CF_Продажа'!D12,0))*'CF_Продажа'!D6</f>
        <v/>
      </c>
      <c r="E13" s="47">
        <f>IF(AND('СРОКИ'!E12=1,'CF_Продажа'!E12&gt;0),-'CF_Продажа'!E12,IF('CF_Продажа'!E12&lt;0,-'CF_Продажа'!E12,0))*'CF_Продажа'!E6</f>
        <v/>
      </c>
      <c r="F13" s="47">
        <f>IF(AND('СРОКИ'!F12=1,'CF_Продажа'!F12&gt;0),-'CF_Продажа'!F12,IF('CF_Продажа'!F12&lt;0,-'CF_Продажа'!F12,0))*'CF_Продажа'!F6</f>
        <v/>
      </c>
      <c r="G13" s="47">
        <f>IF(AND('СРОКИ'!G12=1,'CF_Продажа'!G12&gt;0),-'CF_Продажа'!G12,IF('CF_Продажа'!G12&lt;0,-'CF_Продажа'!G12,0))*'CF_Продажа'!G6</f>
        <v/>
      </c>
      <c r="H13" s="47">
        <f>IF(AND('СРОКИ'!H12=1,'CF_Продажа'!H12&gt;0),-'CF_Продажа'!H12,IF('CF_Продажа'!H12&lt;0,-'CF_Продажа'!H12,0))*'CF_Продажа'!H6</f>
        <v/>
      </c>
      <c r="I13" s="47">
        <f>IF(AND('СРОКИ'!I12=1,'CF_Продажа'!I12&gt;0),-'CF_Продажа'!I12,IF('CF_Продажа'!I12&lt;0,-'CF_Продажа'!I12,0))*'CF_Продажа'!I6</f>
        <v/>
      </c>
      <c r="J13" s="47">
        <f>IF(AND('СРОКИ'!J12=1,'CF_Продажа'!J12&gt;0),-'CF_Продажа'!J12,IF('CF_Продажа'!J12&lt;0,-'CF_Продажа'!J12,0))*'CF_Продажа'!J6</f>
        <v/>
      </c>
      <c r="K13" s="47">
        <f>IF(AND('СРОКИ'!K12=1,'CF_Продажа'!K12&gt;0),-'CF_Продажа'!K12,IF('CF_Продажа'!K12&lt;0,-'CF_Продажа'!K12,0))*'CF_Продажа'!K6</f>
        <v/>
      </c>
      <c r="L13" s="47">
        <f>IF(AND('СРОКИ'!L12=1,'CF_Продажа'!L12&gt;0),-'CF_Продажа'!L12,IF('CF_Продажа'!L12&lt;0,-'CF_Продажа'!L12,0))*'CF_Продажа'!L6</f>
        <v/>
      </c>
      <c r="M13" s="47">
        <f>IF(AND('СРОКИ'!M12=1,'CF_Продажа'!M12&gt;0),-'CF_Продажа'!M12,IF('CF_Продажа'!M12&lt;0,-'CF_Продажа'!M12,0))*'CF_Продажа'!M6</f>
        <v/>
      </c>
      <c r="N13" s="47">
        <f>IF(AND('СРОКИ'!N12=1,'CF_Продажа'!N12&gt;0),-'CF_Продажа'!N12,IF('CF_Продажа'!N12&lt;0,-'CF_Продажа'!N12,0))*'CF_Продажа'!N6</f>
        <v/>
      </c>
      <c r="O13" s="47">
        <f>IF(AND('СРОКИ'!O12=1,'CF_Продажа'!O12&gt;0),-'CF_Продажа'!O12,IF('CF_Продажа'!O12&lt;0,-'CF_Продажа'!O12,0))*'CF_Продажа'!O6</f>
        <v/>
      </c>
      <c r="P13" s="47">
        <f>IF(AND('СРОКИ'!P12=1,'CF_Продажа'!P12&gt;0),-'CF_Продажа'!P12,IF('CF_Продажа'!P12&lt;0,-'CF_Продажа'!P12,0))*'CF_Продажа'!P6</f>
        <v/>
      </c>
      <c r="Q13" s="47">
        <f>IF(AND('СРОКИ'!Q12=1,'CF_Продажа'!Q12&gt;0),-'CF_Продажа'!Q12,IF('CF_Продажа'!Q12&lt;0,-'CF_Продажа'!Q12,0))*'CF_Продажа'!Q6</f>
        <v/>
      </c>
      <c r="R13" s="47">
        <f>IF(AND('СРОКИ'!R12=1,'CF_Продажа'!R12&gt;0),-'CF_Продажа'!R12,IF('CF_Продажа'!R12&lt;0,-'CF_Продажа'!R12,0))*'CF_Продажа'!R6</f>
        <v/>
      </c>
      <c r="S13" s="47">
        <f>IF(AND('СРОКИ'!S12=1,'CF_Продажа'!S12&gt;0),-'CF_Продажа'!S12,IF('CF_Продажа'!S12&lt;0,-'CF_Продажа'!S12,0))*'CF_Продажа'!S6</f>
        <v/>
      </c>
      <c r="T13" s="47">
        <f>IF(AND('СРОКИ'!T12=1,'CF_Продажа'!T12&gt;0),-'CF_Продажа'!T12,IF('CF_Продажа'!T12&lt;0,-'CF_Продажа'!T12,0))*'CF_Продажа'!T6</f>
        <v/>
      </c>
      <c r="U13" s="47">
        <f>IF(AND('СРОКИ'!U12=1,'CF_Продажа'!U12&gt;0),-'CF_Продажа'!U12,IF('CF_Продажа'!U12&lt;0,-'CF_Продажа'!U12,0))*'CF_Продажа'!U6</f>
        <v/>
      </c>
      <c r="V13" s="47">
        <f>IF(AND('СРОКИ'!V12=1,'CF_Продажа'!V12&gt;0),-'CF_Продажа'!V12,IF('CF_Продажа'!V12&lt;0,-'CF_Продажа'!V12,0))*'CF_Продажа'!V6</f>
        <v/>
      </c>
      <c r="W13" s="47">
        <f>IF(AND('СРОКИ'!W12=1,'CF_Продажа'!W12&gt;0),-'CF_Продажа'!W12,IF('CF_Продажа'!W12&lt;0,-'CF_Продажа'!W12,0))*'CF_Продажа'!W6</f>
        <v/>
      </c>
      <c r="X13" s="47">
        <f>IF(AND('СРОКИ'!X12=1,'CF_Продажа'!X12&gt;0),-'CF_Продажа'!X12,IF('CF_Продажа'!X12&lt;0,-'CF_Продажа'!X12,0))*'CF_Продажа'!X6</f>
        <v/>
      </c>
      <c r="Y13" s="47">
        <f>IF(AND('СРОКИ'!Y12=1,'CF_Продажа'!Y12&gt;0),-'CF_Продажа'!Y12,IF('CF_Продажа'!Y12&lt;0,-'CF_Продажа'!Y12,0))*'CF_Продажа'!Y6</f>
        <v/>
      </c>
      <c r="Z13" s="47">
        <f>IF(AND('СРОКИ'!Z12=1,'CF_Продажа'!Z12&gt;0),-'CF_Продажа'!Z12,IF('CF_Продажа'!Z12&lt;0,-'CF_Продажа'!Z12,0))*'CF_Продажа'!Z6</f>
        <v/>
      </c>
      <c r="AA13" s="47">
        <f>IF(AND('СРОКИ'!AA12=1,'CF_Продажа'!AA12&gt;0),-'CF_Продажа'!AA12,IF('CF_Продажа'!AA12&lt;0,-'CF_Продажа'!AA12,0))*'CF_Продажа'!AA6</f>
        <v/>
      </c>
      <c r="AB13" s="47">
        <f>IF(AND('СРОКИ'!AB12=1,'CF_Продажа'!AB12&gt;0),-'CF_Продажа'!AB12,IF('CF_Продажа'!AB12&lt;0,-'CF_Продажа'!AB12,0))*'CF_Продажа'!AB6</f>
        <v/>
      </c>
      <c r="AC13" s="47">
        <f>IF(AND('СРОКИ'!AC12=1,'CF_Продажа'!AC12&gt;0),-'CF_Продажа'!AC12,IF('CF_Продажа'!AC12&lt;0,-'CF_Продажа'!AC12,0))*'CF_Продажа'!AC6</f>
        <v/>
      </c>
      <c r="AD13" s="47">
        <f>IF(AND('СРОКИ'!AD12=1,'CF_Продажа'!AD12&gt;0),-'CF_Продажа'!AD12,IF('CF_Продажа'!AD12&lt;0,-'CF_Продажа'!AD12,0))*'CF_Продажа'!AD6</f>
        <v/>
      </c>
      <c r="AE13" s="47">
        <f>IF(AND('СРОКИ'!AE12=1,'CF_Продажа'!AE12&gt;0),-'CF_Продажа'!AE12,IF('CF_Продажа'!AE12&lt;0,-'CF_Продажа'!AE12,0))*'CF_Продажа'!AE6</f>
        <v/>
      </c>
      <c r="AF13" s="47">
        <f>IF(AND('СРОКИ'!AF12=1,'CF_Продажа'!AF12&gt;0),-'CF_Продажа'!AF12,IF('CF_Продажа'!AF12&lt;0,-'CF_Продажа'!AF12,0))*'CF_Продажа'!AF6</f>
        <v/>
      </c>
      <c r="AG13" s="47">
        <f>IF(AND('СРОКИ'!AG12=1,'CF_Продажа'!AG12&gt;0),-'CF_Продажа'!AG12,IF('CF_Продажа'!AG12&lt;0,-'CF_Продажа'!AG12,0))*'CF_Продажа'!AG6</f>
        <v/>
      </c>
      <c r="AH13" s="47">
        <f>IF(AND('СРОКИ'!AH12=1,'CF_Продажа'!AH12&gt;0),-'CF_Продажа'!AH12,IF('CF_Продажа'!AH12&lt;0,-'CF_Продажа'!AH12,0))*'CF_Продажа'!AH6</f>
        <v/>
      </c>
      <c r="AI13" s="47">
        <f>IF(AND('СРОКИ'!AI12=1,'CF_Продажа'!AI12&gt;0),-'CF_Продажа'!AI12,IF('CF_Продажа'!AI12&lt;0,-'CF_Продажа'!AI12,0))*'CF_Продажа'!AI6</f>
        <v/>
      </c>
      <c r="AJ13" s="47">
        <f>IF(AND('СРОКИ'!AJ12=1,'CF_Продажа'!AJ12&gt;0),-'CF_Продажа'!AJ12,IF('CF_Продажа'!AJ12&lt;0,-'CF_Продажа'!AJ12,0))*'CF_Продажа'!AJ6</f>
        <v/>
      </c>
      <c r="AK13" s="47">
        <f>IF(AND('СРОКИ'!AK12=1,'CF_Продажа'!AK12&gt;0),-'CF_Продажа'!AK12,IF('CF_Продажа'!AK12&lt;0,-'CF_Продажа'!AK12,0))*'CF_Продажа'!AK6</f>
        <v/>
      </c>
      <c r="AL13" s="47">
        <f>IF(AND('СРОКИ'!AL12=1,'CF_Продажа'!AL12&gt;0),-'CF_Продажа'!AL12,IF('CF_Продажа'!AL12&lt;0,-'CF_Продажа'!AL12,0))*'CF_Продажа'!AL6</f>
        <v/>
      </c>
      <c r="AM13" s="47">
        <f>IF(AND('СРОКИ'!AM12=1,'CF_Продажа'!AM12&gt;0),-'CF_Продажа'!AM12,IF('CF_Продажа'!AM12&lt;0,-'CF_Продажа'!AM12,0))*'CF_Продажа'!AM6</f>
        <v/>
      </c>
      <c r="AN13" s="47">
        <f>IF(AND('СРОКИ'!AN12=1,'CF_Продажа'!AN12&gt;0),-'CF_Продажа'!AN12,IF('CF_Продажа'!AN12&lt;0,-'CF_Продажа'!AN12,0))*'CF_Продажа'!AN6</f>
        <v/>
      </c>
      <c r="AO13" s="47">
        <f>IF(AND('СРОКИ'!AO12=1,'CF_Продажа'!AO12&gt;0),-'CF_Продажа'!AO12,IF('CF_Продажа'!AO12&lt;0,-'CF_Продажа'!AO12,0))*'CF_Продажа'!AO6</f>
        <v/>
      </c>
      <c r="AP13" s="47">
        <f>IF(AND('СРОКИ'!AP12=1,'CF_Продажа'!AP12&gt;0),-'CF_Продажа'!AP12,IF('CF_Продажа'!AP12&lt;0,-'CF_Продажа'!AP12,0))*'CF_Продажа'!AP6</f>
        <v/>
      </c>
      <c r="AQ13" s="47">
        <f>IF(AND('СРОКИ'!AQ12=1,'CF_Продажа'!AQ12&gt;0),-'CF_Продажа'!AQ12,IF('CF_Продажа'!AQ12&lt;0,-'CF_Продажа'!AQ12,0))*'CF_Продажа'!AQ6</f>
        <v/>
      </c>
      <c r="AR13" s="47">
        <f>IF(AND('СРОКИ'!AR12=1,'CF_Продажа'!AR12&gt;0),-'CF_Продажа'!AR12,IF('CF_Продажа'!AR12&lt;0,-'CF_Продажа'!AR12,0))*'CF_Продажа'!AR6</f>
        <v/>
      </c>
      <c r="AS13" s="47">
        <f>IF(AND('СРОКИ'!AS12=1,'CF_Продажа'!AS12&gt;0),-'CF_Продажа'!AS12,IF('CF_Продажа'!AS12&lt;0,-'CF_Продажа'!AS12,0))*'CF_Продажа'!AS6</f>
        <v/>
      </c>
      <c r="AT13" s="47">
        <f>IF(AND('СРОКИ'!AT12=1,'CF_Продажа'!AT12&gt;0),-'CF_Продажа'!AT12,IF('CF_Продажа'!AT12&lt;0,-'CF_Продажа'!AT12,0))*'CF_Продажа'!AT6</f>
        <v/>
      </c>
      <c r="AU13" s="47">
        <f>IF(AND('СРОКИ'!AU12=1,'CF_Продажа'!AU12&gt;0),-'CF_Продажа'!AU12,IF('CF_Продажа'!AU12&lt;0,-'CF_Продажа'!AU12,0))*'CF_Продажа'!AU6</f>
        <v/>
      </c>
      <c r="AV13" s="47">
        <f>IF(AND('СРОКИ'!AV12=1,'CF_Продажа'!AV12&gt;0),-'CF_Продажа'!AV12,IF('CF_Продажа'!AV12&lt;0,-'CF_Продажа'!AV12,0))*'CF_Продажа'!AV6</f>
        <v/>
      </c>
      <c r="AW13" s="47">
        <f>IF(AND('СРОКИ'!AW12=1,'CF_Продажа'!AW12&gt;0),-'CF_Продажа'!AW12,IF('CF_Продажа'!AW12&lt;0,-'CF_Продажа'!AW12,0))*'CF_Продажа'!AW6</f>
        <v/>
      </c>
      <c r="AX13" s="47">
        <f>IF(AND('СРОКИ'!AX12=1,'CF_Продажа'!AX12&gt;0),-'CF_Продажа'!AX12,IF('CF_Продажа'!AX12&lt;0,-'CF_Продажа'!AX12,0))*'CF_Продажа'!AX6</f>
        <v/>
      </c>
      <c r="AY13" s="47">
        <f>IF(AND('СРОКИ'!AY12=1,'CF_Продажа'!AY12&gt;0),-'CF_Продажа'!AY12,IF('CF_Продажа'!AY12&lt;0,-'CF_Продажа'!AY12,0))*'CF_Продажа'!AY6</f>
        <v/>
      </c>
      <c r="AZ13" s="47">
        <f>IF(AND('СРОКИ'!AZ12=1,'CF_Продажа'!AZ12&gt;0),-'CF_Продажа'!AZ12,IF('CF_Продажа'!AZ12&lt;0,-'CF_Продажа'!AZ12,0))*'CF_Продажа'!AZ6</f>
        <v/>
      </c>
      <c r="BA13" s="47">
        <f>IF(AND('СРОКИ'!BA12=1,'CF_Продажа'!BA12&gt;0),-'CF_Продажа'!BA12,IF('CF_Продажа'!BA12&lt;0,-'CF_Продажа'!BA12,0))*'CF_Продажа'!BA6</f>
        <v/>
      </c>
      <c r="BB13" s="47">
        <f>IF(AND('СРОКИ'!BB12=1,'CF_Продажа'!BB12&gt;0),-'CF_Продажа'!BB12,IF('CF_Продажа'!BB12&lt;0,-'CF_Продажа'!BB12,0))*'CF_Продажа'!BB6</f>
        <v/>
      </c>
      <c r="BC13" s="47">
        <f>IF(AND('СРОКИ'!BC12=1,'CF_Продажа'!BC12&gt;0),-'CF_Продажа'!BC12,IF('CF_Продажа'!BC12&lt;0,-'CF_Продажа'!BC12,0))*'CF_Продажа'!BC6</f>
        <v/>
      </c>
      <c r="BD13" s="47">
        <f>IF(AND('СРОКИ'!BD12=1,'CF_Продажа'!BD12&gt;0),-'CF_Продажа'!BD12,IF('CF_Продажа'!BD12&lt;0,-'CF_Продажа'!BD12,0))*'CF_Продажа'!BD6</f>
        <v/>
      </c>
      <c r="BE13" s="47">
        <f>IF(AND('СРОКИ'!BE12=1,'CF_Продажа'!BE12&gt;0),-'CF_Продажа'!BE12,IF('CF_Продажа'!BE12&lt;0,-'CF_Продажа'!BE12,0))*'CF_Продажа'!BE6</f>
        <v/>
      </c>
      <c r="BF13" s="47">
        <f>IF(AND('СРОКИ'!BF12=1,'CF_Продажа'!BF12&gt;0),-'CF_Продажа'!BF12,IF('CF_Продажа'!BF12&lt;0,-'CF_Продажа'!BF12,0))*'CF_Продажа'!BF6</f>
        <v/>
      </c>
      <c r="BG13" s="47">
        <f>IF(AND('СРОКИ'!BG12=1,'CF_Продажа'!BG12&gt;0),-'CF_Продажа'!BG12,IF('CF_Продажа'!BG12&lt;0,-'CF_Продажа'!BG12,0))*'CF_Продажа'!BG6</f>
        <v/>
      </c>
      <c r="BH13" s="47">
        <f>IF(AND('СРОКИ'!BH12=1,'CF_Продажа'!BH12&gt;0),-'CF_Продажа'!BH12,IF('CF_Продажа'!BH12&lt;0,-'CF_Продажа'!BH12,0))*'CF_Продажа'!BH6</f>
        <v/>
      </c>
      <c r="BI13" s="47">
        <f>IF(AND('СРОКИ'!BI12=1,'CF_Продажа'!BI12&gt;0),-'CF_Продажа'!BI12,IF('CF_Продажа'!BI12&lt;0,-'CF_Продажа'!BI12,0))*'CF_Продажа'!BI6</f>
        <v/>
      </c>
      <c r="BJ13" s="47">
        <f>IF(AND('СРОКИ'!BJ12=1,'CF_Продажа'!BJ12&gt;0),-'CF_Продажа'!BJ12,IF('CF_Продажа'!BJ12&lt;0,-'CF_Продажа'!BJ12,0))*'CF_Продажа'!BJ6</f>
        <v/>
      </c>
      <c r="BK13" s="47">
        <f>IF(AND('СРОКИ'!BK12=1,'CF_Продажа'!BK12&gt;0),-'CF_Продажа'!BK12,IF('CF_Продажа'!BK12&lt;0,-'CF_Продажа'!BK12,0))*'CF_Продажа'!BK6</f>
        <v/>
      </c>
      <c r="BL13" s="47">
        <f>IF(AND('СРОКИ'!BL12=1,'CF_Продажа'!BL12&gt;0),-'CF_Продажа'!BL12,IF('CF_Продажа'!BL12&lt;0,-'CF_Продажа'!BL12,0))*'CF_Продажа'!BL6</f>
        <v/>
      </c>
      <c r="BM13" s="47">
        <f>IF(AND('СРОКИ'!BM12=1,'CF_Продажа'!BM12&gt;0),-'CF_Продажа'!BM12,IF('CF_Продажа'!BM12&lt;0,-'CF_Продажа'!BM12,0))*'CF_Продажа'!BM6</f>
        <v/>
      </c>
      <c r="BN13" s="47">
        <f>IF(AND('СРОКИ'!BN12=1,'CF_Продажа'!BN12&gt;0),-'CF_Продажа'!BN12,IF('CF_Продажа'!BN12&lt;0,-'CF_Продажа'!BN12,0))*'CF_Продажа'!BN6</f>
        <v/>
      </c>
      <c r="BO13" s="47">
        <f>IF(AND('СРОКИ'!BO12=1,'CF_Продажа'!BO12&gt;0),-'CF_Продажа'!BO12,IF('CF_Продажа'!BO12&lt;0,-'CF_Продажа'!BO12,0))*'CF_Продажа'!BO6</f>
        <v/>
      </c>
      <c r="BP13" s="47">
        <f>IF(AND('СРОКИ'!BP12=1,'CF_Продажа'!BP12&gt;0),-'CF_Продажа'!BP12,IF('CF_Продажа'!BP12&lt;0,-'CF_Продажа'!BP12,0))*'CF_Продажа'!BP6</f>
        <v/>
      </c>
      <c r="BQ13" s="47">
        <f>IF(AND('СРОКИ'!BQ12=1,'CF_Продажа'!BQ12&gt;0),-'CF_Продажа'!BQ12,IF('CF_Продажа'!BQ12&lt;0,-'CF_Продажа'!BQ12,0))*'CF_Продажа'!BQ6</f>
        <v/>
      </c>
      <c r="BR13" s="47">
        <f>IF(AND('СРОКИ'!BR12=1,'CF_Продажа'!BR12&gt;0),-'CF_Продажа'!BR12,IF('CF_Продажа'!BR12&lt;0,-'CF_Продажа'!BR12,0))*'CF_Продажа'!BR6</f>
        <v/>
      </c>
      <c r="BS13" s="47">
        <f>IF(AND('СРОКИ'!BS12=1,'CF_Продажа'!BS12&gt;0),-'CF_Продажа'!BS12,IF('CF_Продажа'!BS12&lt;0,-'CF_Продажа'!BS12,0))*'CF_Продажа'!BS6</f>
        <v/>
      </c>
      <c r="BT13" s="47">
        <f>IF(AND('СРОКИ'!BT12=1,'CF_Продажа'!BT12&gt;0),-'CF_Продажа'!BT12,IF('CF_Продажа'!BT12&lt;0,-'CF_Продажа'!BT12,0))*'CF_Продажа'!BT6</f>
        <v/>
      </c>
      <c r="BU13" s="47">
        <f>IF(AND('СРОКИ'!BU12=1,'CF_Продажа'!BU12&gt;0),-'CF_Продажа'!BU12,IF('CF_Продажа'!BU12&lt;0,-'CF_Продажа'!BU12,0))*'CF_Продажа'!BU6</f>
        <v/>
      </c>
      <c r="BV13" s="47">
        <f>IF(AND('СРОКИ'!BV12=1,'CF_Продажа'!BV12&gt;0),-'CF_Продажа'!BV12,IF('CF_Продажа'!BV12&lt;0,-'CF_Продажа'!BV12,0))*'CF_Продажа'!BV6</f>
        <v/>
      </c>
      <c r="BW13" s="47">
        <f>IF(AND('СРОКИ'!BW12=1,'CF_Продажа'!BW12&gt;0),-'CF_Продажа'!BW12,IF('CF_Продажа'!BW12&lt;0,-'CF_Продажа'!BW12,0))*'CF_Продажа'!BW6</f>
        <v/>
      </c>
      <c r="BX13" s="47">
        <f>IF(AND('СРОКИ'!BX12=1,'CF_Продажа'!BX12&gt;0),-'CF_Продажа'!BX12,IF('CF_Продажа'!BX12&lt;0,-'CF_Продажа'!BX12,0))*'CF_Продажа'!BX6</f>
        <v/>
      </c>
      <c r="BY13" s="47">
        <f>IF(AND('СРОКИ'!BY12=1,'CF_Продажа'!BY12&gt;0),-'CF_Продажа'!BY12,IF('CF_Продажа'!BY12&lt;0,-'CF_Продажа'!BY12,0))*'CF_Продажа'!BY6</f>
        <v/>
      </c>
      <c r="BZ13" s="47">
        <f>IF(AND('СРОКИ'!BZ12=1,'CF_Продажа'!BZ12&gt;0),-'CF_Продажа'!BZ12,IF('CF_Продажа'!BZ12&lt;0,-'CF_Продажа'!BZ12,0))*'CF_Продажа'!BZ6</f>
        <v/>
      </c>
      <c r="CA13" s="47">
        <f>IF(AND('СРОКИ'!CA12=1,'CF_Продажа'!CA12&gt;0),-'CF_Продажа'!CA12,IF('CF_Продажа'!CA12&lt;0,-'CF_Продажа'!CA12,0))*'CF_Продажа'!CA6</f>
        <v/>
      </c>
      <c r="CB13" s="47">
        <f>IF(AND('СРОКИ'!CB12=1,'CF_Продажа'!CB12&gt;0),-'CF_Продажа'!CB12,IF('CF_Продажа'!CB12&lt;0,-'CF_Продажа'!CB12,0))*'CF_Продажа'!CB6</f>
        <v/>
      </c>
      <c r="CC13" s="47">
        <f>IF(AND('СРОКИ'!CC12=1,'CF_Продажа'!CC12&gt;0),-'CF_Продажа'!CC12,IF('CF_Продажа'!CC12&lt;0,-'CF_Продажа'!CC12,0))*'CF_Продажа'!CC6</f>
        <v/>
      </c>
      <c r="CD13" s="47">
        <f>IF(AND('СРОКИ'!CD12=1,'CF_Продажа'!CD12&gt;0),-'CF_Продажа'!CD12,IF('CF_Продажа'!CD12&lt;0,-'CF_Продажа'!CD12,0))*'CF_Продажа'!CD6</f>
        <v/>
      </c>
      <c r="CE13" s="47">
        <f>IF(AND('СРОКИ'!CE12=1,'CF_Продажа'!CE12&gt;0),-'CF_Продажа'!CE12,IF('CF_Продажа'!CE12&lt;0,-'CF_Продажа'!CE12,0))*'CF_Продажа'!CE6</f>
        <v/>
      </c>
      <c r="CF13" s="47">
        <f>IF(AND('СРОКИ'!CF12=1,'CF_Продажа'!CF12&gt;0),-'CF_Продажа'!CF12,IF('CF_Продажа'!CF12&lt;0,-'CF_Продажа'!CF12,0))*'CF_Продажа'!CF6</f>
        <v/>
      </c>
      <c r="CG13" s="47">
        <f>IF(AND('СРОКИ'!CG12=1,'CF_Продажа'!CG12&gt;0),-'CF_Продажа'!CG12,IF('CF_Продажа'!CG12&lt;0,-'CF_Продажа'!CG12,0))*'CF_Продажа'!CG6</f>
        <v/>
      </c>
      <c r="CH13" s="47">
        <f>IF(AND('СРОКИ'!CH12=1,'CF_Продажа'!CH12&gt;0),-'CF_Продажа'!CH12,IF('CF_Продажа'!CH12&lt;0,-'CF_Продажа'!CH12,0))*'CF_Продажа'!CH6</f>
        <v/>
      </c>
      <c r="CI13" s="47">
        <f>IF(AND('СРОКИ'!CI12=1,'CF_Продажа'!CI12&gt;0),-'CF_Продажа'!CI12,IF('CF_Продажа'!CI12&lt;0,-'CF_Продажа'!CI12,0))*'CF_Продажа'!CI6</f>
        <v/>
      </c>
      <c r="CJ13" s="47">
        <f>IF(AND('СРОКИ'!CJ12=1,'CF_Продажа'!CJ12&gt;0),-'CF_Продажа'!CJ12,IF('CF_Продажа'!CJ12&lt;0,-'CF_Продажа'!CJ12,0))*'CF_Продажа'!CJ6</f>
        <v/>
      </c>
      <c r="CK13" s="47">
        <f>IF(AND('СРОКИ'!CK12=1,'CF_Продажа'!CK12&gt;0),-'CF_Продажа'!CK12,IF('CF_Продажа'!CK12&lt;0,-'CF_Продажа'!CK12,0))*'CF_Продажа'!CK6</f>
        <v/>
      </c>
      <c r="CL13" s="47">
        <f>IF(AND('СРОКИ'!CL12=1,'CF_Продажа'!CL12&gt;0),-'CF_Продажа'!CL12,IF('CF_Продажа'!CL12&lt;0,-'CF_Продажа'!CL12,0))*'CF_Продажа'!CL6</f>
        <v/>
      </c>
      <c r="CM13" s="47">
        <f>IF(AND('СРОКИ'!CM12=1,'CF_Продажа'!CM12&gt;0),-'CF_Продажа'!CM12,IF('CF_Продажа'!CM12&lt;0,-'CF_Продажа'!CM12,0))*'CF_Продажа'!CM6</f>
        <v/>
      </c>
      <c r="CN13" s="47">
        <f>IF(AND('СРОКИ'!CN12=1,'CF_Продажа'!CN12&gt;0),-'CF_Продажа'!CN12,IF('CF_Продажа'!CN12&lt;0,-'CF_Продажа'!CN12,0))*'CF_Продажа'!CN6</f>
        <v/>
      </c>
      <c r="CO13" s="47">
        <f>IF(AND('СРОКИ'!CO12=1,'CF_Продажа'!CO12&gt;0),-'CF_Продажа'!CO12,IF('CF_Продажа'!CO12&lt;0,-'CF_Продажа'!CO12,0))*'CF_Продажа'!CO6</f>
        <v/>
      </c>
      <c r="CP13" s="47">
        <f>IF(AND('СРОКИ'!CP12=1,'CF_Продажа'!CP12&gt;0),-'CF_Продажа'!CP12,IF('CF_Продажа'!CP12&lt;0,-'CF_Продажа'!CP12,0))*'CF_Продажа'!CP6</f>
        <v/>
      </c>
      <c r="CQ13" s="47">
        <f>IF(AND('СРОКИ'!CQ12=1,'CF_Продажа'!CQ12&gt;0),-'CF_Продажа'!CQ12,IF('CF_Продажа'!CQ12&lt;0,-'CF_Продажа'!CQ12,0))*'CF_Продажа'!CQ6</f>
        <v/>
      </c>
      <c r="CR13" s="47">
        <f>IF(AND('СРОКИ'!CR12=1,'CF_Продажа'!CR12&gt;0),-'CF_Продажа'!CR12,IF('CF_Продажа'!CR12&lt;0,-'CF_Продажа'!CR12,0))*'CF_Продажа'!CR6</f>
        <v/>
      </c>
      <c r="CS13" s="47">
        <f>IF(AND('СРОКИ'!CS12=1,'CF_Продажа'!CS12&gt;0),-'CF_Продажа'!CS12,IF('CF_Продажа'!CS12&lt;0,-'CF_Продажа'!CS12,0))*'CF_Продажа'!CS6</f>
        <v/>
      </c>
      <c r="CT13" s="47">
        <f>IF(AND('СРОКИ'!CT12=1,'CF_Продажа'!CT12&gt;0),-'CF_Продажа'!CT12,IF('CF_Продажа'!CT12&lt;0,-'CF_Продажа'!CT12,0))*'CF_Продажа'!CT6</f>
        <v/>
      </c>
      <c r="CU13" s="47">
        <f>IF(AND('СРОКИ'!CU12=1,'CF_Продажа'!CU12&gt;0),-'CF_Продажа'!CU12,IF('CF_Продажа'!CU12&lt;0,-'CF_Продажа'!CU12,0))*'CF_Продажа'!CU6</f>
        <v/>
      </c>
      <c r="CV13" s="47">
        <f>IF(AND('СРОКИ'!CV12=1,'CF_Продажа'!CV12&gt;0),-'CF_Продажа'!CV12,IF('CF_Продажа'!CV12&lt;0,-'CF_Продажа'!CV12,0))*'CF_Продажа'!CV6</f>
        <v/>
      </c>
      <c r="CW13" s="47">
        <f>IF(AND('СРОКИ'!CW12=1,'CF_Продажа'!CW12&gt;0),-'CF_Продажа'!CW12,IF('CF_Продажа'!CW12&lt;0,-'CF_Продажа'!CW12,0))*'CF_Продажа'!CW6</f>
        <v/>
      </c>
      <c r="CX13" s="47">
        <f>IF(AND('СРОКИ'!CX12=1,'CF_Продажа'!CX12&gt;0),-'CF_Продажа'!CX12,IF('CF_Продажа'!CX12&lt;0,-'CF_Продажа'!CX12,0))*'CF_Продажа'!CX6</f>
        <v/>
      </c>
      <c r="CY13" s="47">
        <f>IF(AND('СРОКИ'!CY12=1,'CF_Продажа'!CY12&gt;0),-'CF_Продажа'!CY12,IF('CF_Продажа'!CY12&lt;0,-'CF_Продажа'!CY12,0))*'CF_Продажа'!CY6</f>
        <v/>
      </c>
      <c r="CZ13" s="47">
        <f>IF(AND('СРОКИ'!CZ12=1,'CF_Продажа'!CZ12&gt;0),-'CF_Продажа'!CZ12,IF('CF_Продажа'!CZ12&lt;0,-'CF_Продажа'!CZ12,0))*'CF_Продажа'!CZ6</f>
        <v/>
      </c>
      <c r="DA13" s="47">
        <f>IF(AND('СРОКИ'!DA12=1,'CF_Продажа'!DA12&gt;0),-'CF_Продажа'!DA12,IF('CF_Продажа'!DA12&lt;0,-'CF_Продажа'!DA12,0))*'CF_Продажа'!DA6</f>
        <v/>
      </c>
      <c r="DB13" s="47">
        <f>IF(AND('СРОКИ'!DB12=1,'CF_Продажа'!DB12&gt;0),-'CF_Продажа'!DB12,IF('CF_Продажа'!DB12&lt;0,-'CF_Продажа'!DB12,0))*'CF_Продажа'!DB6</f>
        <v/>
      </c>
      <c r="DC13" s="47">
        <f>IF(AND('СРОКИ'!DC12=1,'CF_Продажа'!DC12&gt;0),-'CF_Продажа'!DC12,IF('CF_Продажа'!DC12&lt;0,-'CF_Продажа'!DC12,0))*'CF_Продажа'!DC6</f>
        <v/>
      </c>
      <c r="DD13" s="47">
        <f>IF(AND('СРОКИ'!DD12=1,'CF_Продажа'!DD12&gt;0),-'CF_Продажа'!DD12,IF('CF_Продажа'!DD12&lt;0,-'CF_Продажа'!DD12,0))*'CF_Продажа'!DD6</f>
        <v/>
      </c>
      <c r="DE13" s="47">
        <f>IF(AND('СРОКИ'!DE12=1,'CF_Продажа'!DE12&gt;0),-'CF_Продажа'!DE12,IF('CF_Продажа'!DE12&lt;0,-'CF_Продажа'!DE12,0))*'CF_Продажа'!DE6</f>
        <v/>
      </c>
      <c r="DF13" s="47">
        <f>IF(AND('СРОКИ'!DF12=1,'CF_Продажа'!DF12&gt;0),-'CF_Продажа'!DF12,IF('CF_Продажа'!DF12&lt;0,-'CF_Продажа'!DF12,0))*'CF_Продажа'!DF6</f>
        <v/>
      </c>
      <c r="DG13" s="47">
        <f>IF(AND('СРОКИ'!DG12=1,'CF_Продажа'!DG12&gt;0),-'CF_Продажа'!DG12,IF('CF_Продажа'!DG12&lt;0,-'CF_Продажа'!DG12,0))*'CF_Продажа'!DG6</f>
        <v/>
      </c>
      <c r="DH13" s="47">
        <f>IF(AND('СРОКИ'!DH12=1,'CF_Продажа'!DH12&gt;0),-'CF_Продажа'!DH12,IF('CF_Продажа'!DH12&lt;0,-'CF_Продажа'!DH12,0))*'CF_Продажа'!DH6</f>
        <v/>
      </c>
      <c r="DI13" s="47">
        <f>IF(AND('СРОКИ'!DI12=1,'CF_Продажа'!DI12&gt;0),-'CF_Продажа'!DI12,IF('CF_Продажа'!DI12&lt;0,-'CF_Продажа'!DI12,0))*'CF_Продажа'!DI6</f>
        <v/>
      </c>
      <c r="DJ13" s="47">
        <f>IF(AND('СРОКИ'!DJ12=1,'CF_Продажа'!DJ12&gt;0),-'CF_Продажа'!DJ12,IF('CF_Продажа'!DJ12&lt;0,-'CF_Продажа'!DJ12,0))*'CF_Продажа'!DJ6</f>
        <v/>
      </c>
      <c r="DK13" s="47">
        <f>IF(AND('СРОКИ'!DK12=1,'CF_Продажа'!DK12&gt;0),-'CF_Продажа'!DK12,IF('CF_Продажа'!DK12&lt;0,-'CF_Продажа'!DK12,0))*'CF_Продажа'!DK6</f>
        <v/>
      </c>
      <c r="DL13" s="47">
        <f>IF(AND('СРОКИ'!DL12=1,'CF_Продажа'!DL12&gt;0),-'CF_Продажа'!DL12,IF('CF_Продажа'!DL12&lt;0,-'CF_Продажа'!DL12,0))*'CF_Продажа'!DL6</f>
        <v/>
      </c>
      <c r="DM13" s="47">
        <f>IF(AND('СРОКИ'!DM12=1,'CF_Продажа'!DM12&gt;0),-'CF_Продажа'!DM12,IF('CF_Продажа'!DM12&lt;0,-'CF_Продажа'!DM12,0))*'CF_Продажа'!DM6</f>
        <v/>
      </c>
    </row>
    <row r="14">
      <c r="A14" s="36" t="inlineStr">
        <is>
          <t>НДС к вычету на конец месяца</t>
        </is>
      </c>
      <c r="B14" s="10" t="n"/>
      <c r="C14" s="37" t="inlineStr">
        <is>
          <t>млн ₽</t>
        </is>
      </c>
      <c r="D14" s="47">
        <f>'CF_Продажа'!D12+'CF_Продажа'!D13</f>
        <v/>
      </c>
      <c r="E14" s="47">
        <f>'CF_Продажа'!E12+'CF_Продажа'!E13</f>
        <v/>
      </c>
      <c r="F14" s="47">
        <f>'CF_Продажа'!F12+'CF_Продажа'!F13</f>
        <v/>
      </c>
      <c r="G14" s="47">
        <f>'CF_Продажа'!G12+'CF_Продажа'!G13</f>
        <v/>
      </c>
      <c r="H14" s="47">
        <f>'CF_Продажа'!H12+'CF_Продажа'!H13</f>
        <v/>
      </c>
      <c r="I14" s="47">
        <f>'CF_Продажа'!I12+'CF_Продажа'!I13</f>
        <v/>
      </c>
      <c r="J14" s="47">
        <f>'CF_Продажа'!J12+'CF_Продажа'!J13</f>
        <v/>
      </c>
      <c r="K14" s="47">
        <f>'CF_Продажа'!K12+'CF_Продажа'!K13</f>
        <v/>
      </c>
      <c r="L14" s="47">
        <f>'CF_Продажа'!L12+'CF_Продажа'!L13</f>
        <v/>
      </c>
      <c r="M14" s="47">
        <f>'CF_Продажа'!M12+'CF_Продажа'!M13</f>
        <v/>
      </c>
      <c r="N14" s="47">
        <f>'CF_Продажа'!N12+'CF_Продажа'!N13</f>
        <v/>
      </c>
      <c r="O14" s="47">
        <f>'CF_Продажа'!O12+'CF_Продажа'!O13</f>
        <v/>
      </c>
      <c r="P14" s="47">
        <f>'CF_Продажа'!P12+'CF_Продажа'!P13</f>
        <v/>
      </c>
      <c r="Q14" s="47">
        <f>'CF_Продажа'!Q12+'CF_Продажа'!Q13</f>
        <v/>
      </c>
      <c r="R14" s="47">
        <f>'CF_Продажа'!R12+'CF_Продажа'!R13</f>
        <v/>
      </c>
      <c r="S14" s="47">
        <f>'CF_Продажа'!S12+'CF_Продажа'!S13</f>
        <v/>
      </c>
      <c r="T14" s="47">
        <f>'CF_Продажа'!T12+'CF_Продажа'!T13</f>
        <v/>
      </c>
      <c r="U14" s="47">
        <f>'CF_Продажа'!U12+'CF_Продажа'!U13</f>
        <v/>
      </c>
      <c r="V14" s="47">
        <f>'CF_Продажа'!V12+'CF_Продажа'!V13</f>
        <v/>
      </c>
      <c r="W14" s="47">
        <f>'CF_Продажа'!W12+'CF_Продажа'!W13</f>
        <v/>
      </c>
      <c r="X14" s="47">
        <f>'CF_Продажа'!X12+'CF_Продажа'!X13</f>
        <v/>
      </c>
      <c r="Y14" s="47">
        <f>'CF_Продажа'!Y12+'CF_Продажа'!Y13</f>
        <v/>
      </c>
      <c r="Z14" s="47">
        <f>'CF_Продажа'!Z12+'CF_Продажа'!Z13</f>
        <v/>
      </c>
      <c r="AA14" s="47">
        <f>'CF_Продажа'!AA12+'CF_Продажа'!AA13</f>
        <v/>
      </c>
      <c r="AB14" s="47">
        <f>'CF_Продажа'!AB12+'CF_Продажа'!AB13</f>
        <v/>
      </c>
      <c r="AC14" s="47">
        <f>'CF_Продажа'!AC12+'CF_Продажа'!AC13</f>
        <v/>
      </c>
      <c r="AD14" s="47">
        <f>'CF_Продажа'!AD12+'CF_Продажа'!AD13</f>
        <v/>
      </c>
      <c r="AE14" s="47">
        <f>'CF_Продажа'!AE12+'CF_Продажа'!AE13</f>
        <v/>
      </c>
      <c r="AF14" s="47">
        <f>'CF_Продажа'!AF12+'CF_Продажа'!AF13</f>
        <v/>
      </c>
      <c r="AG14" s="47">
        <f>'CF_Продажа'!AG12+'CF_Продажа'!AG13</f>
        <v/>
      </c>
      <c r="AH14" s="47">
        <f>'CF_Продажа'!AH12+'CF_Продажа'!AH13</f>
        <v/>
      </c>
      <c r="AI14" s="47">
        <f>'CF_Продажа'!AI12+'CF_Продажа'!AI13</f>
        <v/>
      </c>
      <c r="AJ14" s="47">
        <f>'CF_Продажа'!AJ12+'CF_Продажа'!AJ13</f>
        <v/>
      </c>
      <c r="AK14" s="47">
        <f>'CF_Продажа'!AK12+'CF_Продажа'!AK13</f>
        <v/>
      </c>
      <c r="AL14" s="47">
        <f>'CF_Продажа'!AL12+'CF_Продажа'!AL13</f>
        <v/>
      </c>
      <c r="AM14" s="47">
        <f>'CF_Продажа'!AM12+'CF_Продажа'!AM13</f>
        <v/>
      </c>
      <c r="AN14" s="47">
        <f>'CF_Продажа'!AN12+'CF_Продажа'!AN13</f>
        <v/>
      </c>
      <c r="AO14" s="47">
        <f>'CF_Продажа'!AO12+'CF_Продажа'!AO13</f>
        <v/>
      </c>
      <c r="AP14" s="47">
        <f>'CF_Продажа'!AP12+'CF_Продажа'!AP13</f>
        <v/>
      </c>
      <c r="AQ14" s="47">
        <f>'CF_Продажа'!AQ12+'CF_Продажа'!AQ13</f>
        <v/>
      </c>
      <c r="AR14" s="47">
        <f>'CF_Продажа'!AR12+'CF_Продажа'!AR13</f>
        <v/>
      </c>
      <c r="AS14" s="47">
        <f>'CF_Продажа'!AS12+'CF_Продажа'!AS13</f>
        <v/>
      </c>
      <c r="AT14" s="47">
        <f>'CF_Продажа'!AT12+'CF_Продажа'!AT13</f>
        <v/>
      </c>
      <c r="AU14" s="47">
        <f>'CF_Продажа'!AU12+'CF_Продажа'!AU13</f>
        <v/>
      </c>
      <c r="AV14" s="47">
        <f>'CF_Продажа'!AV12+'CF_Продажа'!AV13</f>
        <v/>
      </c>
      <c r="AW14" s="47">
        <f>'CF_Продажа'!AW12+'CF_Продажа'!AW13</f>
        <v/>
      </c>
      <c r="AX14" s="47">
        <f>'CF_Продажа'!AX12+'CF_Продажа'!AX13</f>
        <v/>
      </c>
      <c r="AY14" s="47">
        <f>'CF_Продажа'!AY12+'CF_Продажа'!AY13</f>
        <v/>
      </c>
      <c r="AZ14" s="47">
        <f>'CF_Продажа'!AZ12+'CF_Продажа'!AZ13</f>
        <v/>
      </c>
      <c r="BA14" s="47">
        <f>'CF_Продажа'!BA12+'CF_Продажа'!BA13</f>
        <v/>
      </c>
      <c r="BB14" s="47">
        <f>'CF_Продажа'!BB12+'CF_Продажа'!BB13</f>
        <v/>
      </c>
      <c r="BC14" s="47">
        <f>'CF_Продажа'!BC12+'CF_Продажа'!BC13</f>
        <v/>
      </c>
      <c r="BD14" s="47">
        <f>'CF_Продажа'!BD12+'CF_Продажа'!BD13</f>
        <v/>
      </c>
      <c r="BE14" s="47">
        <f>'CF_Продажа'!BE12+'CF_Продажа'!BE13</f>
        <v/>
      </c>
      <c r="BF14" s="47">
        <f>'CF_Продажа'!BF12+'CF_Продажа'!BF13</f>
        <v/>
      </c>
      <c r="BG14" s="47">
        <f>'CF_Продажа'!BG12+'CF_Продажа'!BG13</f>
        <v/>
      </c>
      <c r="BH14" s="47">
        <f>'CF_Продажа'!BH12+'CF_Продажа'!BH13</f>
        <v/>
      </c>
      <c r="BI14" s="47">
        <f>'CF_Продажа'!BI12+'CF_Продажа'!BI13</f>
        <v/>
      </c>
      <c r="BJ14" s="47">
        <f>'CF_Продажа'!BJ12+'CF_Продажа'!BJ13</f>
        <v/>
      </c>
      <c r="BK14" s="47">
        <f>'CF_Продажа'!BK12+'CF_Продажа'!BK13</f>
        <v/>
      </c>
      <c r="BL14" s="47">
        <f>'CF_Продажа'!BL12+'CF_Продажа'!BL13</f>
        <v/>
      </c>
      <c r="BM14" s="47">
        <f>'CF_Продажа'!BM12+'CF_Продажа'!BM13</f>
        <v/>
      </c>
      <c r="BN14" s="47">
        <f>'CF_Продажа'!BN12+'CF_Продажа'!BN13</f>
        <v/>
      </c>
      <c r="BO14" s="47">
        <f>'CF_Продажа'!BO12+'CF_Продажа'!BO13</f>
        <v/>
      </c>
      <c r="BP14" s="47">
        <f>'CF_Продажа'!BP12+'CF_Продажа'!BP13</f>
        <v/>
      </c>
      <c r="BQ14" s="47">
        <f>'CF_Продажа'!BQ12+'CF_Продажа'!BQ13</f>
        <v/>
      </c>
      <c r="BR14" s="47">
        <f>'CF_Продажа'!BR12+'CF_Продажа'!BR13</f>
        <v/>
      </c>
      <c r="BS14" s="47">
        <f>'CF_Продажа'!BS12+'CF_Продажа'!BS13</f>
        <v/>
      </c>
      <c r="BT14" s="47">
        <f>'CF_Продажа'!BT12+'CF_Продажа'!BT13</f>
        <v/>
      </c>
      <c r="BU14" s="47">
        <f>'CF_Продажа'!BU12+'CF_Продажа'!BU13</f>
        <v/>
      </c>
      <c r="BV14" s="47">
        <f>'CF_Продажа'!BV12+'CF_Продажа'!BV13</f>
        <v/>
      </c>
      <c r="BW14" s="47">
        <f>'CF_Продажа'!BW12+'CF_Продажа'!BW13</f>
        <v/>
      </c>
      <c r="BX14" s="47">
        <f>'CF_Продажа'!BX12+'CF_Продажа'!BX13</f>
        <v/>
      </c>
      <c r="BY14" s="47">
        <f>'CF_Продажа'!BY12+'CF_Продажа'!BY13</f>
        <v/>
      </c>
      <c r="BZ14" s="47">
        <f>'CF_Продажа'!BZ12+'CF_Продажа'!BZ13</f>
        <v/>
      </c>
      <c r="CA14" s="47">
        <f>'CF_Продажа'!CA12+'CF_Продажа'!CA13</f>
        <v/>
      </c>
      <c r="CB14" s="47">
        <f>'CF_Продажа'!CB12+'CF_Продажа'!CB13</f>
        <v/>
      </c>
      <c r="CC14" s="47">
        <f>'CF_Продажа'!CC12+'CF_Продажа'!CC13</f>
        <v/>
      </c>
      <c r="CD14" s="47">
        <f>'CF_Продажа'!CD12+'CF_Продажа'!CD13</f>
        <v/>
      </c>
      <c r="CE14" s="47">
        <f>'CF_Продажа'!CE12+'CF_Продажа'!CE13</f>
        <v/>
      </c>
      <c r="CF14" s="47">
        <f>'CF_Продажа'!CF12+'CF_Продажа'!CF13</f>
        <v/>
      </c>
      <c r="CG14" s="47">
        <f>'CF_Продажа'!CG12+'CF_Продажа'!CG13</f>
        <v/>
      </c>
      <c r="CH14" s="47">
        <f>'CF_Продажа'!CH12+'CF_Продажа'!CH13</f>
        <v/>
      </c>
      <c r="CI14" s="47">
        <f>'CF_Продажа'!CI12+'CF_Продажа'!CI13</f>
        <v/>
      </c>
      <c r="CJ14" s="47">
        <f>'CF_Продажа'!CJ12+'CF_Продажа'!CJ13</f>
        <v/>
      </c>
      <c r="CK14" s="47">
        <f>'CF_Продажа'!CK12+'CF_Продажа'!CK13</f>
        <v/>
      </c>
      <c r="CL14" s="47">
        <f>'CF_Продажа'!CL12+'CF_Продажа'!CL13</f>
        <v/>
      </c>
      <c r="CM14" s="47">
        <f>'CF_Продажа'!CM12+'CF_Продажа'!CM13</f>
        <v/>
      </c>
      <c r="CN14" s="47">
        <f>'CF_Продажа'!CN12+'CF_Продажа'!CN13</f>
        <v/>
      </c>
      <c r="CO14" s="47">
        <f>'CF_Продажа'!CO12+'CF_Продажа'!CO13</f>
        <v/>
      </c>
      <c r="CP14" s="47">
        <f>'CF_Продажа'!CP12+'CF_Продажа'!CP13</f>
        <v/>
      </c>
      <c r="CQ14" s="47">
        <f>'CF_Продажа'!CQ12+'CF_Продажа'!CQ13</f>
        <v/>
      </c>
      <c r="CR14" s="47">
        <f>'CF_Продажа'!CR12+'CF_Продажа'!CR13</f>
        <v/>
      </c>
      <c r="CS14" s="47">
        <f>'CF_Продажа'!CS12+'CF_Продажа'!CS13</f>
        <v/>
      </c>
      <c r="CT14" s="47">
        <f>'CF_Продажа'!CT12+'CF_Продажа'!CT13</f>
        <v/>
      </c>
      <c r="CU14" s="47">
        <f>'CF_Продажа'!CU12+'CF_Продажа'!CU13</f>
        <v/>
      </c>
      <c r="CV14" s="47">
        <f>'CF_Продажа'!CV12+'CF_Продажа'!CV13</f>
        <v/>
      </c>
      <c r="CW14" s="47">
        <f>'CF_Продажа'!CW12+'CF_Продажа'!CW13</f>
        <v/>
      </c>
      <c r="CX14" s="47">
        <f>'CF_Продажа'!CX12+'CF_Продажа'!CX13</f>
        <v/>
      </c>
      <c r="CY14" s="47">
        <f>'CF_Продажа'!CY12+'CF_Продажа'!CY13</f>
        <v/>
      </c>
      <c r="CZ14" s="47">
        <f>'CF_Продажа'!CZ12+'CF_Продажа'!CZ13</f>
        <v/>
      </c>
      <c r="DA14" s="47">
        <f>'CF_Продажа'!DA12+'CF_Продажа'!DA13</f>
        <v/>
      </c>
      <c r="DB14" s="47">
        <f>'CF_Продажа'!DB12+'CF_Продажа'!DB13</f>
        <v/>
      </c>
      <c r="DC14" s="47">
        <f>'CF_Продажа'!DC12+'CF_Продажа'!DC13</f>
        <v/>
      </c>
      <c r="DD14" s="47">
        <f>'CF_Продажа'!DD12+'CF_Продажа'!DD13</f>
        <v/>
      </c>
      <c r="DE14" s="47">
        <f>'CF_Продажа'!DE12+'CF_Продажа'!DE13</f>
        <v/>
      </c>
      <c r="DF14" s="47">
        <f>'CF_Продажа'!DF12+'CF_Продажа'!DF13</f>
        <v/>
      </c>
      <c r="DG14" s="47">
        <f>'CF_Продажа'!DG12+'CF_Продажа'!DG13</f>
        <v/>
      </c>
      <c r="DH14" s="47">
        <f>'CF_Продажа'!DH12+'CF_Продажа'!DH13</f>
        <v/>
      </c>
      <c r="DI14" s="47">
        <f>'CF_Продажа'!DI12+'CF_Продажа'!DI13</f>
        <v/>
      </c>
      <c r="DJ14" s="47">
        <f>'CF_Продажа'!DJ12+'CF_Продажа'!DJ13</f>
        <v/>
      </c>
      <c r="DK14" s="47">
        <f>'CF_Продажа'!DK12+'CF_Продажа'!DK13</f>
        <v/>
      </c>
      <c r="DL14" s="47">
        <f>'CF_Продажа'!DL12+'CF_Продажа'!DL13</f>
        <v/>
      </c>
      <c r="DM14" s="47">
        <f>'CF_Продажа'!DM12+'CF_Продажа'!DM13</f>
        <v/>
      </c>
    </row>
    <row r="16">
      <c r="A16" s="17" t="inlineStr">
        <is>
          <t>Кредит</t>
        </is>
      </c>
      <c r="B16" s="18" t="n"/>
      <c r="C16" s="18" t="n"/>
    </row>
    <row r="17">
      <c r="A17" s="36" t="inlineStr">
        <is>
          <t>Выдача</t>
        </is>
      </c>
      <c r="B17" s="40">
        <f>SUM(D17:DM17)</f>
        <v/>
      </c>
      <c r="C17" s="37" t="inlineStr">
        <is>
          <t>млн ₽</t>
        </is>
      </c>
      <c r="D17" s="47">
        <f>IF('СРОКИ'!D10&lt;='СРОКИ'!$B$6,'CAPEX'!D7*'Вводные'!$B$55,0)</f>
        <v/>
      </c>
      <c r="E17" s="47">
        <f>IF('СРОКИ'!E10&lt;='СРОКИ'!$B$6,'CAPEX'!E7*'Вводные'!$B$55,0)</f>
        <v/>
      </c>
      <c r="F17" s="47">
        <f>IF('СРОКИ'!F10&lt;='СРОКИ'!$B$6,'CAPEX'!F7*'Вводные'!$B$55,0)</f>
        <v/>
      </c>
      <c r="G17" s="47">
        <f>IF('СРОКИ'!G10&lt;='СРОКИ'!$B$6,'CAPEX'!G7*'Вводные'!$B$55,0)</f>
        <v/>
      </c>
      <c r="H17" s="47">
        <f>IF('СРОКИ'!H10&lt;='СРОКИ'!$B$6,'CAPEX'!H7*'Вводные'!$B$55,0)</f>
        <v/>
      </c>
      <c r="I17" s="47">
        <f>IF('СРОКИ'!I10&lt;='СРОКИ'!$B$6,'CAPEX'!I7*'Вводные'!$B$55,0)</f>
        <v/>
      </c>
      <c r="J17" s="47">
        <f>IF('СРОКИ'!J10&lt;='СРОКИ'!$B$6,'CAPEX'!J7*'Вводные'!$B$55,0)</f>
        <v/>
      </c>
      <c r="K17" s="47">
        <f>IF('СРОКИ'!K10&lt;='СРОКИ'!$B$6,'CAPEX'!K7*'Вводные'!$B$55,0)</f>
        <v/>
      </c>
      <c r="L17" s="47">
        <f>IF('СРОКИ'!L10&lt;='СРОКИ'!$B$6,'CAPEX'!L7*'Вводные'!$B$55,0)</f>
        <v/>
      </c>
      <c r="M17" s="47">
        <f>IF('СРОКИ'!M10&lt;='СРОКИ'!$B$6,'CAPEX'!M7*'Вводные'!$B$55,0)</f>
        <v/>
      </c>
      <c r="N17" s="47">
        <f>IF('СРОКИ'!N10&lt;='СРОКИ'!$B$6,'CAPEX'!N7*'Вводные'!$B$55,0)</f>
        <v/>
      </c>
      <c r="O17" s="47">
        <f>IF('СРОКИ'!O10&lt;='СРОКИ'!$B$6,'CAPEX'!O7*'Вводные'!$B$55,0)</f>
        <v/>
      </c>
      <c r="P17" s="47">
        <f>IF('СРОКИ'!P10&lt;='СРОКИ'!$B$6,'CAPEX'!P7*'Вводные'!$B$55,0)</f>
        <v/>
      </c>
      <c r="Q17" s="47">
        <f>IF('СРОКИ'!Q10&lt;='СРОКИ'!$B$6,'CAPEX'!Q7*'Вводные'!$B$55,0)</f>
        <v/>
      </c>
      <c r="R17" s="47">
        <f>IF('СРОКИ'!R10&lt;='СРОКИ'!$B$6,'CAPEX'!R7*'Вводные'!$B$55,0)</f>
        <v/>
      </c>
      <c r="S17" s="47">
        <f>IF('СРОКИ'!S10&lt;='СРОКИ'!$B$6,'CAPEX'!S7*'Вводные'!$B$55,0)</f>
        <v/>
      </c>
      <c r="T17" s="47">
        <f>IF('СРОКИ'!T10&lt;='СРОКИ'!$B$6,'CAPEX'!T7*'Вводные'!$B$55,0)</f>
        <v/>
      </c>
      <c r="U17" s="47">
        <f>IF('СРОКИ'!U10&lt;='СРОКИ'!$B$6,'CAPEX'!U7*'Вводные'!$B$55,0)</f>
        <v/>
      </c>
      <c r="V17" s="47">
        <f>IF('СРОКИ'!V10&lt;='СРОКИ'!$B$6,'CAPEX'!V7*'Вводные'!$B$55,0)</f>
        <v/>
      </c>
      <c r="W17" s="47">
        <f>IF('СРОКИ'!W10&lt;='СРОКИ'!$B$6,'CAPEX'!W7*'Вводные'!$B$55,0)</f>
        <v/>
      </c>
      <c r="X17" s="47">
        <f>IF('СРОКИ'!X10&lt;='СРОКИ'!$B$6,'CAPEX'!X7*'Вводные'!$B$55,0)</f>
        <v/>
      </c>
      <c r="Y17" s="47">
        <f>IF('СРОКИ'!Y10&lt;='СРОКИ'!$B$6,'CAPEX'!Y7*'Вводные'!$B$55,0)</f>
        <v/>
      </c>
      <c r="Z17" s="47">
        <f>IF('СРОКИ'!Z10&lt;='СРОКИ'!$B$6,'CAPEX'!Z7*'Вводные'!$B$55,0)</f>
        <v/>
      </c>
      <c r="AA17" s="47">
        <f>IF('СРОКИ'!AA10&lt;='СРОКИ'!$B$6,'CAPEX'!AA7*'Вводные'!$B$55,0)</f>
        <v/>
      </c>
      <c r="AB17" s="47">
        <f>IF('СРОКИ'!AB10&lt;='СРОКИ'!$B$6,'CAPEX'!AB7*'Вводные'!$B$55,0)</f>
        <v/>
      </c>
      <c r="AC17" s="47">
        <f>IF('СРОКИ'!AC10&lt;='СРОКИ'!$B$6,'CAPEX'!AC7*'Вводные'!$B$55,0)</f>
        <v/>
      </c>
      <c r="AD17" s="47">
        <f>IF('СРОКИ'!AD10&lt;='СРОКИ'!$B$6,'CAPEX'!AD7*'Вводные'!$B$55,0)</f>
        <v/>
      </c>
      <c r="AE17" s="47">
        <f>IF('СРОКИ'!AE10&lt;='СРОКИ'!$B$6,'CAPEX'!AE7*'Вводные'!$B$55,0)</f>
        <v/>
      </c>
      <c r="AF17" s="47">
        <f>IF('СРОКИ'!AF10&lt;='СРОКИ'!$B$6,'CAPEX'!AF7*'Вводные'!$B$55,0)</f>
        <v/>
      </c>
      <c r="AG17" s="47">
        <f>IF('СРОКИ'!AG10&lt;='СРОКИ'!$B$6,'CAPEX'!AG7*'Вводные'!$B$55,0)</f>
        <v/>
      </c>
      <c r="AH17" s="47">
        <f>IF('СРОКИ'!AH10&lt;='СРОКИ'!$B$6,'CAPEX'!AH7*'Вводные'!$B$55,0)</f>
        <v/>
      </c>
      <c r="AI17" s="47">
        <f>IF('СРОКИ'!AI10&lt;='СРОКИ'!$B$6,'CAPEX'!AI7*'Вводные'!$B$55,0)</f>
        <v/>
      </c>
      <c r="AJ17" s="47">
        <f>IF('СРОКИ'!AJ10&lt;='СРОКИ'!$B$6,'CAPEX'!AJ7*'Вводные'!$B$55,0)</f>
        <v/>
      </c>
      <c r="AK17" s="47">
        <f>IF('СРОКИ'!AK10&lt;='СРОКИ'!$B$6,'CAPEX'!AK7*'Вводные'!$B$55,0)</f>
        <v/>
      </c>
      <c r="AL17" s="47">
        <f>IF('СРОКИ'!AL10&lt;='СРОКИ'!$B$6,'CAPEX'!AL7*'Вводные'!$B$55,0)</f>
        <v/>
      </c>
      <c r="AM17" s="47">
        <f>IF('СРОКИ'!AM10&lt;='СРОКИ'!$B$6,'CAPEX'!AM7*'Вводные'!$B$55,0)</f>
        <v/>
      </c>
      <c r="AN17" s="47">
        <f>IF('СРОКИ'!AN10&lt;='СРОКИ'!$B$6,'CAPEX'!AN7*'Вводные'!$B$55,0)</f>
        <v/>
      </c>
      <c r="AO17" s="47">
        <f>IF('СРОКИ'!AO10&lt;='СРОКИ'!$B$6,'CAPEX'!AO7*'Вводные'!$B$55,0)</f>
        <v/>
      </c>
      <c r="AP17" s="47">
        <f>IF('СРОКИ'!AP10&lt;='СРОКИ'!$B$6,'CAPEX'!AP7*'Вводные'!$B$55,0)</f>
        <v/>
      </c>
      <c r="AQ17" s="47">
        <f>IF('СРОКИ'!AQ10&lt;='СРОКИ'!$B$6,'CAPEX'!AQ7*'Вводные'!$B$55,0)</f>
        <v/>
      </c>
      <c r="AR17" s="47">
        <f>IF('СРОКИ'!AR10&lt;='СРОКИ'!$B$6,'CAPEX'!AR7*'Вводные'!$B$55,0)</f>
        <v/>
      </c>
      <c r="AS17" s="47">
        <f>IF('СРОКИ'!AS10&lt;='СРОКИ'!$B$6,'CAPEX'!AS7*'Вводные'!$B$55,0)</f>
        <v/>
      </c>
      <c r="AT17" s="47">
        <f>IF('СРОКИ'!AT10&lt;='СРОКИ'!$B$6,'CAPEX'!AT7*'Вводные'!$B$55,0)</f>
        <v/>
      </c>
      <c r="AU17" s="47">
        <f>IF('СРОКИ'!AU10&lt;='СРОКИ'!$B$6,'CAPEX'!AU7*'Вводные'!$B$55,0)</f>
        <v/>
      </c>
      <c r="AV17" s="47">
        <f>IF('СРОКИ'!AV10&lt;='СРОКИ'!$B$6,'CAPEX'!AV7*'Вводные'!$B$55,0)</f>
        <v/>
      </c>
      <c r="AW17" s="47">
        <f>IF('СРОКИ'!AW10&lt;='СРОКИ'!$B$6,'CAPEX'!AW7*'Вводные'!$B$55,0)</f>
        <v/>
      </c>
      <c r="AX17" s="47">
        <f>IF('СРОКИ'!AX10&lt;='СРОКИ'!$B$6,'CAPEX'!AX7*'Вводные'!$B$55,0)</f>
        <v/>
      </c>
      <c r="AY17" s="47">
        <f>IF('СРОКИ'!AY10&lt;='СРОКИ'!$B$6,'CAPEX'!AY7*'Вводные'!$B$55,0)</f>
        <v/>
      </c>
      <c r="AZ17" s="47">
        <f>IF('СРОКИ'!AZ10&lt;='СРОКИ'!$B$6,'CAPEX'!AZ7*'Вводные'!$B$55,0)</f>
        <v/>
      </c>
      <c r="BA17" s="47">
        <f>IF('СРОКИ'!BA10&lt;='СРОКИ'!$B$6,'CAPEX'!BA7*'Вводные'!$B$55,0)</f>
        <v/>
      </c>
      <c r="BB17" s="47">
        <f>IF('СРОКИ'!BB10&lt;='СРОКИ'!$B$6,'CAPEX'!BB7*'Вводные'!$B$55,0)</f>
        <v/>
      </c>
      <c r="BC17" s="47">
        <f>IF('СРОКИ'!BC10&lt;='СРОКИ'!$B$6,'CAPEX'!BC7*'Вводные'!$B$55,0)</f>
        <v/>
      </c>
      <c r="BD17" s="47">
        <f>IF('СРОКИ'!BD10&lt;='СРОКИ'!$B$6,'CAPEX'!BD7*'Вводные'!$B$55,0)</f>
        <v/>
      </c>
      <c r="BE17" s="47">
        <f>IF('СРОКИ'!BE10&lt;='СРОКИ'!$B$6,'CAPEX'!BE7*'Вводные'!$B$55,0)</f>
        <v/>
      </c>
      <c r="BF17" s="47">
        <f>IF('СРОКИ'!BF10&lt;='СРОКИ'!$B$6,'CAPEX'!BF7*'Вводные'!$B$55,0)</f>
        <v/>
      </c>
      <c r="BG17" s="47">
        <f>IF('СРОКИ'!BG10&lt;='СРОКИ'!$B$6,'CAPEX'!BG7*'Вводные'!$B$55,0)</f>
        <v/>
      </c>
      <c r="BH17" s="47">
        <f>IF('СРОКИ'!BH10&lt;='СРОКИ'!$B$6,'CAPEX'!BH7*'Вводные'!$B$55,0)</f>
        <v/>
      </c>
      <c r="BI17" s="47">
        <f>IF('СРОКИ'!BI10&lt;='СРОКИ'!$B$6,'CAPEX'!BI7*'Вводные'!$B$55,0)</f>
        <v/>
      </c>
      <c r="BJ17" s="47">
        <f>IF('СРОКИ'!BJ10&lt;='СРОКИ'!$B$6,'CAPEX'!BJ7*'Вводные'!$B$55,0)</f>
        <v/>
      </c>
      <c r="BK17" s="47">
        <f>IF('СРОКИ'!BK10&lt;='СРОКИ'!$B$6,'CAPEX'!BK7*'Вводные'!$B$55,0)</f>
        <v/>
      </c>
      <c r="BL17" s="47">
        <f>IF('СРОКИ'!BL10&lt;='СРОКИ'!$B$6,'CAPEX'!BL7*'Вводные'!$B$55,0)</f>
        <v/>
      </c>
      <c r="BM17" s="47">
        <f>IF('СРОКИ'!BM10&lt;='СРОКИ'!$B$6,'CAPEX'!BM7*'Вводные'!$B$55,0)</f>
        <v/>
      </c>
      <c r="BN17" s="47">
        <f>IF('СРОКИ'!BN10&lt;='СРОКИ'!$B$6,'CAPEX'!BN7*'Вводные'!$B$55,0)</f>
        <v/>
      </c>
      <c r="BO17" s="47">
        <f>IF('СРОКИ'!BO10&lt;='СРОКИ'!$B$6,'CAPEX'!BO7*'Вводные'!$B$55,0)</f>
        <v/>
      </c>
      <c r="BP17" s="47">
        <f>IF('СРОКИ'!BP10&lt;='СРОКИ'!$B$6,'CAPEX'!BP7*'Вводные'!$B$55,0)</f>
        <v/>
      </c>
      <c r="BQ17" s="47">
        <f>IF('СРОКИ'!BQ10&lt;='СРОКИ'!$B$6,'CAPEX'!BQ7*'Вводные'!$B$55,0)</f>
        <v/>
      </c>
      <c r="BR17" s="47">
        <f>IF('СРОКИ'!BR10&lt;='СРОКИ'!$B$6,'CAPEX'!BR7*'Вводные'!$B$55,0)</f>
        <v/>
      </c>
      <c r="BS17" s="47">
        <f>IF('СРОКИ'!BS10&lt;='СРОКИ'!$B$6,'CAPEX'!BS7*'Вводные'!$B$55,0)</f>
        <v/>
      </c>
      <c r="BT17" s="47">
        <f>IF('СРОКИ'!BT10&lt;='СРОКИ'!$B$6,'CAPEX'!BT7*'Вводные'!$B$55,0)</f>
        <v/>
      </c>
      <c r="BU17" s="47">
        <f>IF('СРОКИ'!BU10&lt;='СРОКИ'!$B$6,'CAPEX'!BU7*'Вводные'!$B$55,0)</f>
        <v/>
      </c>
      <c r="BV17" s="47">
        <f>IF('СРОКИ'!BV10&lt;='СРОКИ'!$B$6,'CAPEX'!BV7*'Вводные'!$B$55,0)</f>
        <v/>
      </c>
      <c r="BW17" s="47">
        <f>IF('СРОКИ'!BW10&lt;='СРОКИ'!$B$6,'CAPEX'!BW7*'Вводные'!$B$55,0)</f>
        <v/>
      </c>
      <c r="BX17" s="47">
        <f>IF('СРОКИ'!BX10&lt;='СРОКИ'!$B$6,'CAPEX'!BX7*'Вводные'!$B$55,0)</f>
        <v/>
      </c>
      <c r="BY17" s="47">
        <f>IF('СРОКИ'!BY10&lt;='СРОКИ'!$B$6,'CAPEX'!BY7*'Вводные'!$B$55,0)</f>
        <v/>
      </c>
      <c r="BZ17" s="47">
        <f>IF('СРОКИ'!BZ10&lt;='СРОКИ'!$B$6,'CAPEX'!BZ7*'Вводные'!$B$55,0)</f>
        <v/>
      </c>
      <c r="CA17" s="47">
        <f>IF('СРОКИ'!CA10&lt;='СРОКИ'!$B$6,'CAPEX'!CA7*'Вводные'!$B$55,0)</f>
        <v/>
      </c>
      <c r="CB17" s="47">
        <f>IF('СРОКИ'!CB10&lt;='СРОКИ'!$B$6,'CAPEX'!CB7*'Вводные'!$B$55,0)</f>
        <v/>
      </c>
      <c r="CC17" s="47">
        <f>IF('СРОКИ'!CC10&lt;='СРОКИ'!$B$6,'CAPEX'!CC7*'Вводные'!$B$55,0)</f>
        <v/>
      </c>
      <c r="CD17" s="47">
        <f>IF('СРОКИ'!CD10&lt;='СРОКИ'!$B$6,'CAPEX'!CD7*'Вводные'!$B$55,0)</f>
        <v/>
      </c>
      <c r="CE17" s="47">
        <f>IF('СРОКИ'!CE10&lt;='СРОКИ'!$B$6,'CAPEX'!CE7*'Вводные'!$B$55,0)</f>
        <v/>
      </c>
      <c r="CF17" s="47">
        <f>IF('СРОКИ'!CF10&lt;='СРОКИ'!$B$6,'CAPEX'!CF7*'Вводные'!$B$55,0)</f>
        <v/>
      </c>
      <c r="CG17" s="47">
        <f>IF('СРОКИ'!CG10&lt;='СРОКИ'!$B$6,'CAPEX'!CG7*'Вводные'!$B$55,0)</f>
        <v/>
      </c>
      <c r="CH17" s="47">
        <f>IF('СРОКИ'!CH10&lt;='СРОКИ'!$B$6,'CAPEX'!CH7*'Вводные'!$B$55,0)</f>
        <v/>
      </c>
      <c r="CI17" s="47">
        <f>IF('СРОКИ'!CI10&lt;='СРОКИ'!$B$6,'CAPEX'!CI7*'Вводные'!$B$55,0)</f>
        <v/>
      </c>
      <c r="CJ17" s="47">
        <f>IF('СРОКИ'!CJ10&lt;='СРОКИ'!$B$6,'CAPEX'!CJ7*'Вводные'!$B$55,0)</f>
        <v/>
      </c>
      <c r="CK17" s="47">
        <f>IF('СРОКИ'!CK10&lt;='СРОКИ'!$B$6,'CAPEX'!CK7*'Вводные'!$B$55,0)</f>
        <v/>
      </c>
      <c r="CL17" s="47">
        <f>IF('СРОКИ'!CL10&lt;='СРОКИ'!$B$6,'CAPEX'!CL7*'Вводные'!$B$55,0)</f>
        <v/>
      </c>
      <c r="CM17" s="47">
        <f>IF('СРОКИ'!CM10&lt;='СРОКИ'!$B$6,'CAPEX'!CM7*'Вводные'!$B$55,0)</f>
        <v/>
      </c>
      <c r="CN17" s="47">
        <f>IF('СРОКИ'!CN10&lt;='СРОКИ'!$B$6,'CAPEX'!CN7*'Вводные'!$B$55,0)</f>
        <v/>
      </c>
      <c r="CO17" s="47">
        <f>IF('СРОКИ'!CO10&lt;='СРОКИ'!$B$6,'CAPEX'!CO7*'Вводные'!$B$55,0)</f>
        <v/>
      </c>
      <c r="CP17" s="47">
        <f>IF('СРОКИ'!CP10&lt;='СРОКИ'!$B$6,'CAPEX'!CP7*'Вводные'!$B$55,0)</f>
        <v/>
      </c>
      <c r="CQ17" s="47">
        <f>IF('СРОКИ'!CQ10&lt;='СРОКИ'!$B$6,'CAPEX'!CQ7*'Вводные'!$B$55,0)</f>
        <v/>
      </c>
      <c r="CR17" s="47">
        <f>IF('СРОКИ'!CR10&lt;='СРОКИ'!$B$6,'CAPEX'!CR7*'Вводные'!$B$55,0)</f>
        <v/>
      </c>
      <c r="CS17" s="47">
        <f>IF('СРОКИ'!CS10&lt;='СРОКИ'!$B$6,'CAPEX'!CS7*'Вводные'!$B$55,0)</f>
        <v/>
      </c>
      <c r="CT17" s="47">
        <f>IF('СРОКИ'!CT10&lt;='СРОКИ'!$B$6,'CAPEX'!CT7*'Вводные'!$B$55,0)</f>
        <v/>
      </c>
      <c r="CU17" s="47">
        <f>IF('СРОКИ'!CU10&lt;='СРОКИ'!$B$6,'CAPEX'!CU7*'Вводные'!$B$55,0)</f>
        <v/>
      </c>
      <c r="CV17" s="47">
        <f>IF('СРОКИ'!CV10&lt;='СРОКИ'!$B$6,'CAPEX'!CV7*'Вводные'!$B$55,0)</f>
        <v/>
      </c>
      <c r="CW17" s="47">
        <f>IF('СРОКИ'!CW10&lt;='СРОКИ'!$B$6,'CAPEX'!CW7*'Вводные'!$B$55,0)</f>
        <v/>
      </c>
      <c r="CX17" s="47">
        <f>IF('СРОКИ'!CX10&lt;='СРОКИ'!$B$6,'CAPEX'!CX7*'Вводные'!$B$55,0)</f>
        <v/>
      </c>
      <c r="CY17" s="47">
        <f>IF('СРОКИ'!CY10&lt;='СРОКИ'!$B$6,'CAPEX'!CY7*'Вводные'!$B$55,0)</f>
        <v/>
      </c>
      <c r="CZ17" s="47">
        <f>IF('СРОКИ'!CZ10&lt;='СРОКИ'!$B$6,'CAPEX'!CZ7*'Вводные'!$B$55,0)</f>
        <v/>
      </c>
      <c r="DA17" s="47">
        <f>IF('СРОКИ'!DA10&lt;='СРОКИ'!$B$6,'CAPEX'!DA7*'Вводные'!$B$55,0)</f>
        <v/>
      </c>
      <c r="DB17" s="47">
        <f>IF('СРОКИ'!DB10&lt;='СРОКИ'!$B$6,'CAPEX'!DB7*'Вводные'!$B$55,0)</f>
        <v/>
      </c>
      <c r="DC17" s="47">
        <f>IF('СРОКИ'!DC10&lt;='СРОКИ'!$B$6,'CAPEX'!DC7*'Вводные'!$B$55,0)</f>
        <v/>
      </c>
      <c r="DD17" s="47">
        <f>IF('СРОКИ'!DD10&lt;='СРОКИ'!$B$6,'CAPEX'!DD7*'Вводные'!$B$55,0)</f>
        <v/>
      </c>
      <c r="DE17" s="47">
        <f>IF('СРОКИ'!DE10&lt;='СРОКИ'!$B$6,'CAPEX'!DE7*'Вводные'!$B$55,0)</f>
        <v/>
      </c>
      <c r="DF17" s="47">
        <f>IF('СРОКИ'!DF10&lt;='СРОКИ'!$B$6,'CAPEX'!DF7*'Вводные'!$B$55,0)</f>
        <v/>
      </c>
      <c r="DG17" s="47">
        <f>IF('СРОКИ'!DG10&lt;='СРОКИ'!$B$6,'CAPEX'!DG7*'Вводные'!$B$55,0)</f>
        <v/>
      </c>
      <c r="DH17" s="47">
        <f>IF('СРОКИ'!DH10&lt;='СРОКИ'!$B$6,'CAPEX'!DH7*'Вводные'!$B$55,0)</f>
        <v/>
      </c>
      <c r="DI17" s="47">
        <f>IF('СРОКИ'!DI10&lt;='СРОКИ'!$B$6,'CAPEX'!DI7*'Вводные'!$B$55,0)</f>
        <v/>
      </c>
      <c r="DJ17" s="47">
        <f>IF('СРОКИ'!DJ10&lt;='СРОКИ'!$B$6,'CAPEX'!DJ7*'Вводные'!$B$55,0)</f>
        <v/>
      </c>
      <c r="DK17" s="47">
        <f>IF('СРОКИ'!DK10&lt;='СРОКИ'!$B$6,'CAPEX'!DK7*'Вводные'!$B$55,0)</f>
        <v/>
      </c>
      <c r="DL17" s="47">
        <f>IF('СРОКИ'!DL10&lt;='СРОКИ'!$B$6,'CAPEX'!DL7*'Вводные'!$B$55,0)</f>
        <v/>
      </c>
      <c r="DM17" s="47">
        <f>IF('СРОКИ'!DM10&lt;='СРОКИ'!$B$6,'CAPEX'!DM7*'Вводные'!$B$55,0)</f>
        <v/>
      </c>
    </row>
    <row r="18">
      <c r="A18" s="36" t="inlineStr">
        <is>
          <t>Проценты месяца</t>
        </is>
      </c>
      <c r="B18" s="40">
        <f>SUM(D18:DM18)</f>
        <v/>
      </c>
      <c r="C18" s="37" t="inlineStr">
        <is>
          <t>млн ₽</t>
        </is>
      </c>
      <c r="D18" s="47">
        <f>0</f>
        <v/>
      </c>
      <c r="E18" s="47">
        <f>'CF_Продажа'!D24*'Ставки'!E6/12</f>
        <v/>
      </c>
      <c r="F18" s="47">
        <f>'CF_Продажа'!E24*'Ставки'!F6/12</f>
        <v/>
      </c>
      <c r="G18" s="47">
        <f>'CF_Продажа'!F24*'Ставки'!G6/12</f>
        <v/>
      </c>
      <c r="H18" s="47">
        <f>'CF_Продажа'!G24*'Ставки'!H6/12</f>
        <v/>
      </c>
      <c r="I18" s="47">
        <f>'CF_Продажа'!H24*'Ставки'!I6/12</f>
        <v/>
      </c>
      <c r="J18" s="47">
        <f>'CF_Продажа'!I24*'Ставки'!J6/12</f>
        <v/>
      </c>
      <c r="K18" s="47">
        <f>'CF_Продажа'!J24*'Ставки'!K6/12</f>
        <v/>
      </c>
      <c r="L18" s="47">
        <f>'CF_Продажа'!K24*'Ставки'!L6/12</f>
        <v/>
      </c>
      <c r="M18" s="47">
        <f>'CF_Продажа'!L24*'Ставки'!M6/12</f>
        <v/>
      </c>
      <c r="N18" s="47">
        <f>'CF_Продажа'!M24*'Ставки'!N6/12</f>
        <v/>
      </c>
      <c r="O18" s="47">
        <f>'CF_Продажа'!N24*'Ставки'!O6/12</f>
        <v/>
      </c>
      <c r="P18" s="47">
        <f>'CF_Продажа'!O24*'Ставки'!P6/12</f>
        <v/>
      </c>
      <c r="Q18" s="47">
        <f>'CF_Продажа'!P24*'Ставки'!Q6/12</f>
        <v/>
      </c>
      <c r="R18" s="47">
        <f>'CF_Продажа'!Q24*'Ставки'!R6/12</f>
        <v/>
      </c>
      <c r="S18" s="47">
        <f>'CF_Продажа'!R24*'Ставки'!S6/12</f>
        <v/>
      </c>
      <c r="T18" s="47">
        <f>'CF_Продажа'!S24*'Ставки'!T6/12</f>
        <v/>
      </c>
      <c r="U18" s="47">
        <f>'CF_Продажа'!T24*'Ставки'!U6/12</f>
        <v/>
      </c>
      <c r="V18" s="47">
        <f>'CF_Продажа'!U24*'Ставки'!V6/12</f>
        <v/>
      </c>
      <c r="W18" s="47">
        <f>'CF_Продажа'!V24*'Ставки'!W6/12</f>
        <v/>
      </c>
      <c r="X18" s="47">
        <f>'CF_Продажа'!W24*'Ставки'!X6/12</f>
        <v/>
      </c>
      <c r="Y18" s="47">
        <f>'CF_Продажа'!X24*'Ставки'!Y6/12</f>
        <v/>
      </c>
      <c r="Z18" s="47">
        <f>'CF_Продажа'!Y24*'Ставки'!Z6/12</f>
        <v/>
      </c>
      <c r="AA18" s="47">
        <f>'CF_Продажа'!Z24*'Ставки'!AA6/12</f>
        <v/>
      </c>
      <c r="AB18" s="47">
        <f>'CF_Продажа'!AA24*'Ставки'!AB6/12</f>
        <v/>
      </c>
      <c r="AC18" s="47">
        <f>'CF_Продажа'!AB24*'Ставки'!AC6/12</f>
        <v/>
      </c>
      <c r="AD18" s="47">
        <f>'CF_Продажа'!AC24*'Ставки'!AD6/12</f>
        <v/>
      </c>
      <c r="AE18" s="47">
        <f>'CF_Продажа'!AD24*'Ставки'!AE6/12</f>
        <v/>
      </c>
      <c r="AF18" s="47">
        <f>'CF_Продажа'!AE24*'Ставки'!AF6/12</f>
        <v/>
      </c>
      <c r="AG18" s="47">
        <f>'CF_Продажа'!AF24*'Ставки'!AG6/12</f>
        <v/>
      </c>
      <c r="AH18" s="47">
        <f>'CF_Продажа'!AG24*'Ставки'!AH6/12</f>
        <v/>
      </c>
      <c r="AI18" s="47">
        <f>'CF_Продажа'!AH24*'Ставки'!AI6/12</f>
        <v/>
      </c>
      <c r="AJ18" s="47">
        <f>'CF_Продажа'!AI24*'Ставки'!AJ6/12</f>
        <v/>
      </c>
      <c r="AK18" s="47">
        <f>'CF_Продажа'!AJ24*'Ставки'!AK6/12</f>
        <v/>
      </c>
      <c r="AL18" s="47">
        <f>'CF_Продажа'!AK24*'Ставки'!AL6/12</f>
        <v/>
      </c>
      <c r="AM18" s="47">
        <f>'CF_Продажа'!AL24*'Ставки'!AM6/12</f>
        <v/>
      </c>
      <c r="AN18" s="47">
        <f>'CF_Продажа'!AM24*'Ставки'!AN6/12</f>
        <v/>
      </c>
      <c r="AO18" s="47">
        <f>'CF_Продажа'!AN24*'Ставки'!AO6/12</f>
        <v/>
      </c>
      <c r="AP18" s="47">
        <f>'CF_Продажа'!AO24*'Ставки'!AP6/12</f>
        <v/>
      </c>
      <c r="AQ18" s="47">
        <f>'CF_Продажа'!AP24*'Ставки'!AQ6/12</f>
        <v/>
      </c>
      <c r="AR18" s="47">
        <f>'CF_Продажа'!AQ24*'Ставки'!AR6/12</f>
        <v/>
      </c>
      <c r="AS18" s="47">
        <f>'CF_Продажа'!AR24*'Ставки'!AS6/12</f>
        <v/>
      </c>
      <c r="AT18" s="47">
        <f>'CF_Продажа'!AS24*'Ставки'!AT6/12</f>
        <v/>
      </c>
      <c r="AU18" s="47">
        <f>'CF_Продажа'!AT24*'Ставки'!AU6/12</f>
        <v/>
      </c>
      <c r="AV18" s="47">
        <f>'CF_Продажа'!AU24*'Ставки'!AV6/12</f>
        <v/>
      </c>
      <c r="AW18" s="47">
        <f>'CF_Продажа'!AV24*'Ставки'!AW6/12</f>
        <v/>
      </c>
      <c r="AX18" s="47">
        <f>'CF_Продажа'!AW24*'Ставки'!AX6/12</f>
        <v/>
      </c>
      <c r="AY18" s="47">
        <f>'CF_Продажа'!AX24*'Ставки'!AY6/12</f>
        <v/>
      </c>
      <c r="AZ18" s="47">
        <f>'CF_Продажа'!AY24*'Ставки'!AZ6/12</f>
        <v/>
      </c>
      <c r="BA18" s="47">
        <f>'CF_Продажа'!AZ24*'Ставки'!BA6/12</f>
        <v/>
      </c>
      <c r="BB18" s="47">
        <f>'CF_Продажа'!BA24*'Ставки'!BB6/12</f>
        <v/>
      </c>
      <c r="BC18" s="47">
        <f>'CF_Продажа'!BB24*'Ставки'!BC6/12</f>
        <v/>
      </c>
      <c r="BD18" s="47">
        <f>'CF_Продажа'!BC24*'Ставки'!BD6/12</f>
        <v/>
      </c>
      <c r="BE18" s="47">
        <f>'CF_Продажа'!BD24*'Ставки'!BE6/12</f>
        <v/>
      </c>
      <c r="BF18" s="47">
        <f>'CF_Продажа'!BE24*'Ставки'!BF6/12</f>
        <v/>
      </c>
      <c r="BG18" s="47">
        <f>'CF_Продажа'!BF24*'Ставки'!BG6/12</f>
        <v/>
      </c>
      <c r="BH18" s="47">
        <f>'CF_Продажа'!BG24*'Ставки'!BH6/12</f>
        <v/>
      </c>
      <c r="BI18" s="47">
        <f>'CF_Продажа'!BH24*'Ставки'!BI6/12</f>
        <v/>
      </c>
      <c r="BJ18" s="47">
        <f>'CF_Продажа'!BI24*'Ставки'!BJ6/12</f>
        <v/>
      </c>
      <c r="BK18" s="47">
        <f>'CF_Продажа'!BJ24*'Ставки'!BK6/12</f>
        <v/>
      </c>
      <c r="BL18" s="47">
        <f>'CF_Продажа'!BK24*'Ставки'!BL6/12</f>
        <v/>
      </c>
      <c r="BM18" s="47">
        <f>'CF_Продажа'!BL24*'Ставки'!BM6/12</f>
        <v/>
      </c>
      <c r="BN18" s="47">
        <f>'CF_Продажа'!BM24*'Ставки'!BN6/12</f>
        <v/>
      </c>
      <c r="BO18" s="47">
        <f>'CF_Продажа'!BN24*'Ставки'!BO6/12</f>
        <v/>
      </c>
      <c r="BP18" s="47">
        <f>'CF_Продажа'!BO24*'Ставки'!BP6/12</f>
        <v/>
      </c>
      <c r="BQ18" s="47">
        <f>'CF_Продажа'!BP24*'Ставки'!BQ6/12</f>
        <v/>
      </c>
      <c r="BR18" s="47">
        <f>'CF_Продажа'!BQ24*'Ставки'!BR6/12</f>
        <v/>
      </c>
      <c r="BS18" s="47">
        <f>'CF_Продажа'!BR24*'Ставки'!BS6/12</f>
        <v/>
      </c>
      <c r="BT18" s="47">
        <f>'CF_Продажа'!BS24*'Ставки'!BT6/12</f>
        <v/>
      </c>
      <c r="BU18" s="47">
        <f>'CF_Продажа'!BT24*'Ставки'!BU6/12</f>
        <v/>
      </c>
      <c r="BV18" s="47">
        <f>'CF_Продажа'!BU24*'Ставки'!BV6/12</f>
        <v/>
      </c>
      <c r="BW18" s="47">
        <f>'CF_Продажа'!BV24*'Ставки'!BW6/12</f>
        <v/>
      </c>
      <c r="BX18" s="47">
        <f>'CF_Продажа'!BW24*'Ставки'!BX6/12</f>
        <v/>
      </c>
      <c r="BY18" s="47">
        <f>'CF_Продажа'!BX24*'Ставки'!BY6/12</f>
        <v/>
      </c>
      <c r="BZ18" s="47">
        <f>'CF_Продажа'!BY24*'Ставки'!BZ6/12</f>
        <v/>
      </c>
      <c r="CA18" s="47">
        <f>'CF_Продажа'!BZ24*'Ставки'!CA6/12</f>
        <v/>
      </c>
      <c r="CB18" s="47">
        <f>'CF_Продажа'!CA24*'Ставки'!CB6/12</f>
        <v/>
      </c>
      <c r="CC18" s="47">
        <f>'CF_Продажа'!CB24*'Ставки'!CC6/12</f>
        <v/>
      </c>
      <c r="CD18" s="47">
        <f>'CF_Продажа'!CC24*'Ставки'!CD6/12</f>
        <v/>
      </c>
      <c r="CE18" s="47">
        <f>'CF_Продажа'!CD24*'Ставки'!CE6/12</f>
        <v/>
      </c>
      <c r="CF18" s="47">
        <f>'CF_Продажа'!CE24*'Ставки'!CF6/12</f>
        <v/>
      </c>
      <c r="CG18" s="47">
        <f>'CF_Продажа'!CF24*'Ставки'!CG6/12</f>
        <v/>
      </c>
      <c r="CH18" s="47">
        <f>'CF_Продажа'!CG24*'Ставки'!CH6/12</f>
        <v/>
      </c>
      <c r="CI18" s="47">
        <f>'CF_Продажа'!CH24*'Ставки'!CI6/12</f>
        <v/>
      </c>
      <c r="CJ18" s="47">
        <f>'CF_Продажа'!CI24*'Ставки'!CJ6/12</f>
        <v/>
      </c>
      <c r="CK18" s="47">
        <f>'CF_Продажа'!CJ24*'Ставки'!CK6/12</f>
        <v/>
      </c>
      <c r="CL18" s="47">
        <f>'CF_Продажа'!CK24*'Ставки'!CL6/12</f>
        <v/>
      </c>
      <c r="CM18" s="47">
        <f>'CF_Продажа'!CL24*'Ставки'!CM6/12</f>
        <v/>
      </c>
      <c r="CN18" s="47">
        <f>'CF_Продажа'!CM24*'Ставки'!CN6/12</f>
        <v/>
      </c>
      <c r="CO18" s="47">
        <f>'CF_Продажа'!CN24*'Ставки'!CO6/12</f>
        <v/>
      </c>
      <c r="CP18" s="47">
        <f>'CF_Продажа'!CO24*'Ставки'!CP6/12</f>
        <v/>
      </c>
      <c r="CQ18" s="47">
        <f>'CF_Продажа'!CP24*'Ставки'!CQ6/12</f>
        <v/>
      </c>
      <c r="CR18" s="47">
        <f>'CF_Продажа'!CQ24*'Ставки'!CR6/12</f>
        <v/>
      </c>
      <c r="CS18" s="47">
        <f>'CF_Продажа'!CR24*'Ставки'!CS6/12</f>
        <v/>
      </c>
      <c r="CT18" s="47">
        <f>'CF_Продажа'!CS24*'Ставки'!CT6/12</f>
        <v/>
      </c>
      <c r="CU18" s="47">
        <f>'CF_Продажа'!CT24*'Ставки'!CU6/12</f>
        <v/>
      </c>
      <c r="CV18" s="47">
        <f>'CF_Продажа'!CU24*'Ставки'!CV6/12</f>
        <v/>
      </c>
      <c r="CW18" s="47">
        <f>'CF_Продажа'!CV24*'Ставки'!CW6/12</f>
        <v/>
      </c>
      <c r="CX18" s="47">
        <f>'CF_Продажа'!CW24*'Ставки'!CX6/12</f>
        <v/>
      </c>
      <c r="CY18" s="47">
        <f>'CF_Продажа'!CX24*'Ставки'!CY6/12</f>
        <v/>
      </c>
      <c r="CZ18" s="47">
        <f>'CF_Продажа'!CY24*'Ставки'!CZ6/12</f>
        <v/>
      </c>
      <c r="DA18" s="47">
        <f>'CF_Продажа'!CZ24*'Ставки'!DA6/12</f>
        <v/>
      </c>
      <c r="DB18" s="47">
        <f>'CF_Продажа'!DA24*'Ставки'!DB6/12</f>
        <v/>
      </c>
      <c r="DC18" s="47">
        <f>'CF_Продажа'!DB24*'Ставки'!DC6/12</f>
        <v/>
      </c>
      <c r="DD18" s="47">
        <f>'CF_Продажа'!DC24*'Ставки'!DD6/12</f>
        <v/>
      </c>
      <c r="DE18" s="47">
        <f>'CF_Продажа'!DD24*'Ставки'!DE6/12</f>
        <v/>
      </c>
      <c r="DF18" s="47">
        <f>'CF_Продажа'!DE24*'Ставки'!DF6/12</f>
        <v/>
      </c>
      <c r="DG18" s="47">
        <f>'CF_Продажа'!DF24*'Ставки'!DG6/12</f>
        <v/>
      </c>
      <c r="DH18" s="47">
        <f>'CF_Продажа'!DG24*'Ставки'!DH6/12</f>
        <v/>
      </c>
      <c r="DI18" s="47">
        <f>'CF_Продажа'!DH24*'Ставки'!DI6/12</f>
        <v/>
      </c>
      <c r="DJ18" s="47">
        <f>'CF_Продажа'!DI24*'Ставки'!DJ6/12</f>
        <v/>
      </c>
      <c r="DK18" s="47">
        <f>'CF_Продажа'!DJ24*'Ставки'!DK6/12</f>
        <v/>
      </c>
      <c r="DL18" s="47">
        <f>'CF_Продажа'!DK24*'Ставки'!DL6/12</f>
        <v/>
      </c>
      <c r="DM18" s="47">
        <f>'CF_Продажа'!DL24*'Ставки'!DM6/12</f>
        <v/>
      </c>
    </row>
    <row r="19">
      <c r="A19" s="36" t="inlineStr">
        <is>
          <t>Проценты капитализированы (до ввода)</t>
        </is>
      </c>
      <c r="B19" s="40">
        <f>SUM(D19:DM19)</f>
        <v/>
      </c>
      <c r="C19" s="37" t="inlineStr">
        <is>
          <t>млн ₽</t>
        </is>
      </c>
      <c r="D19" s="47">
        <f>IF('СРОКИ'!D10&lt;'СРОКИ'!$B$6,'CF_Продажа'!D18,0)</f>
        <v/>
      </c>
      <c r="E19" s="47">
        <f>IF('СРОКИ'!E10&lt;'СРОКИ'!$B$6,'CF_Продажа'!E18,0)</f>
        <v/>
      </c>
      <c r="F19" s="47">
        <f>IF('СРОКИ'!F10&lt;'СРОКИ'!$B$6,'CF_Продажа'!F18,0)</f>
        <v/>
      </c>
      <c r="G19" s="47">
        <f>IF('СРОКИ'!G10&lt;'СРОКИ'!$B$6,'CF_Продажа'!G18,0)</f>
        <v/>
      </c>
      <c r="H19" s="47">
        <f>IF('СРОКИ'!H10&lt;'СРОКИ'!$B$6,'CF_Продажа'!H18,0)</f>
        <v/>
      </c>
      <c r="I19" s="47">
        <f>IF('СРОКИ'!I10&lt;'СРОКИ'!$B$6,'CF_Продажа'!I18,0)</f>
        <v/>
      </c>
      <c r="J19" s="47">
        <f>IF('СРОКИ'!J10&lt;'СРОКИ'!$B$6,'CF_Продажа'!J18,0)</f>
        <v/>
      </c>
      <c r="K19" s="47">
        <f>IF('СРОКИ'!K10&lt;'СРОКИ'!$B$6,'CF_Продажа'!K18,0)</f>
        <v/>
      </c>
      <c r="L19" s="47">
        <f>IF('СРОКИ'!L10&lt;'СРОКИ'!$B$6,'CF_Продажа'!L18,0)</f>
        <v/>
      </c>
      <c r="M19" s="47">
        <f>IF('СРОКИ'!M10&lt;'СРОКИ'!$B$6,'CF_Продажа'!M18,0)</f>
        <v/>
      </c>
      <c r="N19" s="47">
        <f>IF('СРОКИ'!N10&lt;'СРОКИ'!$B$6,'CF_Продажа'!N18,0)</f>
        <v/>
      </c>
      <c r="O19" s="47">
        <f>IF('СРОКИ'!O10&lt;'СРОКИ'!$B$6,'CF_Продажа'!O18,0)</f>
        <v/>
      </c>
      <c r="P19" s="47">
        <f>IF('СРОКИ'!P10&lt;'СРОКИ'!$B$6,'CF_Продажа'!P18,0)</f>
        <v/>
      </c>
      <c r="Q19" s="47">
        <f>IF('СРОКИ'!Q10&lt;'СРОКИ'!$B$6,'CF_Продажа'!Q18,0)</f>
        <v/>
      </c>
      <c r="R19" s="47">
        <f>IF('СРОКИ'!R10&lt;'СРОКИ'!$B$6,'CF_Продажа'!R18,0)</f>
        <v/>
      </c>
      <c r="S19" s="47">
        <f>IF('СРОКИ'!S10&lt;'СРОКИ'!$B$6,'CF_Продажа'!S18,0)</f>
        <v/>
      </c>
      <c r="T19" s="47">
        <f>IF('СРОКИ'!T10&lt;'СРОКИ'!$B$6,'CF_Продажа'!T18,0)</f>
        <v/>
      </c>
      <c r="U19" s="47">
        <f>IF('СРОКИ'!U10&lt;'СРОКИ'!$B$6,'CF_Продажа'!U18,0)</f>
        <v/>
      </c>
      <c r="V19" s="47">
        <f>IF('СРОКИ'!V10&lt;'СРОКИ'!$B$6,'CF_Продажа'!V18,0)</f>
        <v/>
      </c>
      <c r="W19" s="47">
        <f>IF('СРОКИ'!W10&lt;'СРОКИ'!$B$6,'CF_Продажа'!W18,0)</f>
        <v/>
      </c>
      <c r="X19" s="47">
        <f>IF('СРОКИ'!X10&lt;'СРОКИ'!$B$6,'CF_Продажа'!X18,0)</f>
        <v/>
      </c>
      <c r="Y19" s="47">
        <f>IF('СРОКИ'!Y10&lt;'СРОКИ'!$B$6,'CF_Продажа'!Y18,0)</f>
        <v/>
      </c>
      <c r="Z19" s="47">
        <f>IF('СРОКИ'!Z10&lt;'СРОКИ'!$B$6,'CF_Продажа'!Z18,0)</f>
        <v/>
      </c>
      <c r="AA19" s="47">
        <f>IF('СРОКИ'!AA10&lt;'СРОКИ'!$B$6,'CF_Продажа'!AA18,0)</f>
        <v/>
      </c>
      <c r="AB19" s="47">
        <f>IF('СРОКИ'!AB10&lt;'СРОКИ'!$B$6,'CF_Продажа'!AB18,0)</f>
        <v/>
      </c>
      <c r="AC19" s="47">
        <f>IF('СРОКИ'!AC10&lt;'СРОКИ'!$B$6,'CF_Продажа'!AC18,0)</f>
        <v/>
      </c>
      <c r="AD19" s="47">
        <f>IF('СРОКИ'!AD10&lt;'СРОКИ'!$B$6,'CF_Продажа'!AD18,0)</f>
        <v/>
      </c>
      <c r="AE19" s="47">
        <f>IF('СРОКИ'!AE10&lt;'СРОКИ'!$B$6,'CF_Продажа'!AE18,0)</f>
        <v/>
      </c>
      <c r="AF19" s="47">
        <f>IF('СРОКИ'!AF10&lt;'СРОКИ'!$B$6,'CF_Продажа'!AF18,0)</f>
        <v/>
      </c>
      <c r="AG19" s="47">
        <f>IF('СРОКИ'!AG10&lt;'СРОКИ'!$B$6,'CF_Продажа'!AG18,0)</f>
        <v/>
      </c>
      <c r="AH19" s="47">
        <f>IF('СРОКИ'!AH10&lt;'СРОКИ'!$B$6,'CF_Продажа'!AH18,0)</f>
        <v/>
      </c>
      <c r="AI19" s="47">
        <f>IF('СРОКИ'!AI10&lt;'СРОКИ'!$B$6,'CF_Продажа'!AI18,0)</f>
        <v/>
      </c>
      <c r="AJ19" s="47">
        <f>IF('СРОКИ'!AJ10&lt;'СРОКИ'!$B$6,'CF_Продажа'!AJ18,0)</f>
        <v/>
      </c>
      <c r="AK19" s="47">
        <f>IF('СРОКИ'!AK10&lt;'СРОКИ'!$B$6,'CF_Продажа'!AK18,0)</f>
        <v/>
      </c>
      <c r="AL19" s="47">
        <f>IF('СРОКИ'!AL10&lt;'СРОКИ'!$B$6,'CF_Продажа'!AL18,0)</f>
        <v/>
      </c>
      <c r="AM19" s="47">
        <f>IF('СРОКИ'!AM10&lt;'СРОКИ'!$B$6,'CF_Продажа'!AM18,0)</f>
        <v/>
      </c>
      <c r="AN19" s="47">
        <f>IF('СРОКИ'!AN10&lt;'СРОКИ'!$B$6,'CF_Продажа'!AN18,0)</f>
        <v/>
      </c>
      <c r="AO19" s="47">
        <f>IF('СРОКИ'!AO10&lt;'СРОКИ'!$B$6,'CF_Продажа'!AO18,0)</f>
        <v/>
      </c>
      <c r="AP19" s="47">
        <f>IF('СРОКИ'!AP10&lt;'СРОКИ'!$B$6,'CF_Продажа'!AP18,0)</f>
        <v/>
      </c>
      <c r="AQ19" s="47">
        <f>IF('СРОКИ'!AQ10&lt;'СРОКИ'!$B$6,'CF_Продажа'!AQ18,0)</f>
        <v/>
      </c>
      <c r="AR19" s="47">
        <f>IF('СРОКИ'!AR10&lt;'СРОКИ'!$B$6,'CF_Продажа'!AR18,0)</f>
        <v/>
      </c>
      <c r="AS19" s="47">
        <f>IF('СРОКИ'!AS10&lt;'СРОКИ'!$B$6,'CF_Продажа'!AS18,0)</f>
        <v/>
      </c>
      <c r="AT19" s="47">
        <f>IF('СРОКИ'!AT10&lt;'СРОКИ'!$B$6,'CF_Продажа'!AT18,0)</f>
        <v/>
      </c>
      <c r="AU19" s="47">
        <f>IF('СРОКИ'!AU10&lt;'СРОКИ'!$B$6,'CF_Продажа'!AU18,0)</f>
        <v/>
      </c>
      <c r="AV19" s="47">
        <f>IF('СРОКИ'!AV10&lt;'СРОКИ'!$B$6,'CF_Продажа'!AV18,0)</f>
        <v/>
      </c>
      <c r="AW19" s="47">
        <f>IF('СРОКИ'!AW10&lt;'СРОКИ'!$B$6,'CF_Продажа'!AW18,0)</f>
        <v/>
      </c>
      <c r="AX19" s="47">
        <f>IF('СРОКИ'!AX10&lt;'СРОКИ'!$B$6,'CF_Продажа'!AX18,0)</f>
        <v/>
      </c>
      <c r="AY19" s="47">
        <f>IF('СРОКИ'!AY10&lt;'СРОКИ'!$B$6,'CF_Продажа'!AY18,0)</f>
        <v/>
      </c>
      <c r="AZ19" s="47">
        <f>IF('СРОКИ'!AZ10&lt;'СРОКИ'!$B$6,'CF_Продажа'!AZ18,0)</f>
        <v/>
      </c>
      <c r="BA19" s="47">
        <f>IF('СРОКИ'!BA10&lt;'СРОКИ'!$B$6,'CF_Продажа'!BA18,0)</f>
        <v/>
      </c>
      <c r="BB19" s="47">
        <f>IF('СРОКИ'!BB10&lt;'СРОКИ'!$B$6,'CF_Продажа'!BB18,0)</f>
        <v/>
      </c>
      <c r="BC19" s="47">
        <f>IF('СРОКИ'!BC10&lt;'СРОКИ'!$B$6,'CF_Продажа'!BC18,0)</f>
        <v/>
      </c>
      <c r="BD19" s="47">
        <f>IF('СРОКИ'!BD10&lt;'СРОКИ'!$B$6,'CF_Продажа'!BD18,0)</f>
        <v/>
      </c>
      <c r="BE19" s="47">
        <f>IF('СРОКИ'!BE10&lt;'СРОКИ'!$B$6,'CF_Продажа'!BE18,0)</f>
        <v/>
      </c>
      <c r="BF19" s="47">
        <f>IF('СРОКИ'!BF10&lt;'СРОКИ'!$B$6,'CF_Продажа'!BF18,0)</f>
        <v/>
      </c>
      <c r="BG19" s="47">
        <f>IF('СРОКИ'!BG10&lt;'СРОКИ'!$B$6,'CF_Продажа'!BG18,0)</f>
        <v/>
      </c>
      <c r="BH19" s="47">
        <f>IF('СРОКИ'!BH10&lt;'СРОКИ'!$B$6,'CF_Продажа'!BH18,0)</f>
        <v/>
      </c>
      <c r="BI19" s="47">
        <f>IF('СРОКИ'!BI10&lt;'СРОКИ'!$B$6,'CF_Продажа'!BI18,0)</f>
        <v/>
      </c>
      <c r="BJ19" s="47">
        <f>IF('СРОКИ'!BJ10&lt;'СРОКИ'!$B$6,'CF_Продажа'!BJ18,0)</f>
        <v/>
      </c>
      <c r="BK19" s="47">
        <f>IF('СРОКИ'!BK10&lt;'СРОКИ'!$B$6,'CF_Продажа'!BK18,0)</f>
        <v/>
      </c>
      <c r="BL19" s="47">
        <f>IF('СРОКИ'!BL10&lt;'СРОКИ'!$B$6,'CF_Продажа'!BL18,0)</f>
        <v/>
      </c>
      <c r="BM19" s="47">
        <f>IF('СРОКИ'!BM10&lt;'СРОКИ'!$B$6,'CF_Продажа'!BM18,0)</f>
        <v/>
      </c>
      <c r="BN19" s="47">
        <f>IF('СРОКИ'!BN10&lt;'СРОКИ'!$B$6,'CF_Продажа'!BN18,0)</f>
        <v/>
      </c>
      <c r="BO19" s="47">
        <f>IF('СРОКИ'!BO10&lt;'СРОКИ'!$B$6,'CF_Продажа'!BO18,0)</f>
        <v/>
      </c>
      <c r="BP19" s="47">
        <f>IF('СРОКИ'!BP10&lt;'СРОКИ'!$B$6,'CF_Продажа'!BP18,0)</f>
        <v/>
      </c>
      <c r="BQ19" s="47">
        <f>IF('СРОКИ'!BQ10&lt;'СРОКИ'!$B$6,'CF_Продажа'!BQ18,0)</f>
        <v/>
      </c>
      <c r="BR19" s="47">
        <f>IF('СРОКИ'!BR10&lt;'СРОКИ'!$B$6,'CF_Продажа'!BR18,0)</f>
        <v/>
      </c>
      <c r="BS19" s="47">
        <f>IF('СРОКИ'!BS10&lt;'СРОКИ'!$B$6,'CF_Продажа'!BS18,0)</f>
        <v/>
      </c>
      <c r="BT19" s="47">
        <f>IF('СРОКИ'!BT10&lt;'СРОКИ'!$B$6,'CF_Продажа'!BT18,0)</f>
        <v/>
      </c>
      <c r="BU19" s="47">
        <f>IF('СРОКИ'!BU10&lt;'СРОКИ'!$B$6,'CF_Продажа'!BU18,0)</f>
        <v/>
      </c>
      <c r="BV19" s="47">
        <f>IF('СРОКИ'!BV10&lt;'СРОКИ'!$B$6,'CF_Продажа'!BV18,0)</f>
        <v/>
      </c>
      <c r="BW19" s="47">
        <f>IF('СРОКИ'!BW10&lt;'СРОКИ'!$B$6,'CF_Продажа'!BW18,0)</f>
        <v/>
      </c>
      <c r="BX19" s="47">
        <f>IF('СРОКИ'!BX10&lt;'СРОКИ'!$B$6,'CF_Продажа'!BX18,0)</f>
        <v/>
      </c>
      <c r="BY19" s="47">
        <f>IF('СРОКИ'!BY10&lt;'СРОКИ'!$B$6,'CF_Продажа'!BY18,0)</f>
        <v/>
      </c>
      <c r="BZ19" s="47">
        <f>IF('СРОКИ'!BZ10&lt;'СРОКИ'!$B$6,'CF_Продажа'!BZ18,0)</f>
        <v/>
      </c>
      <c r="CA19" s="47">
        <f>IF('СРОКИ'!CA10&lt;'СРОКИ'!$B$6,'CF_Продажа'!CA18,0)</f>
        <v/>
      </c>
      <c r="CB19" s="47">
        <f>IF('СРОКИ'!CB10&lt;'СРОКИ'!$B$6,'CF_Продажа'!CB18,0)</f>
        <v/>
      </c>
      <c r="CC19" s="47">
        <f>IF('СРОКИ'!CC10&lt;'СРОКИ'!$B$6,'CF_Продажа'!CC18,0)</f>
        <v/>
      </c>
      <c r="CD19" s="47">
        <f>IF('СРОКИ'!CD10&lt;'СРОКИ'!$B$6,'CF_Продажа'!CD18,0)</f>
        <v/>
      </c>
      <c r="CE19" s="47">
        <f>IF('СРОКИ'!CE10&lt;'СРОКИ'!$B$6,'CF_Продажа'!CE18,0)</f>
        <v/>
      </c>
      <c r="CF19" s="47">
        <f>IF('СРОКИ'!CF10&lt;'СРОКИ'!$B$6,'CF_Продажа'!CF18,0)</f>
        <v/>
      </c>
      <c r="CG19" s="47">
        <f>IF('СРОКИ'!CG10&lt;'СРОКИ'!$B$6,'CF_Продажа'!CG18,0)</f>
        <v/>
      </c>
      <c r="CH19" s="47">
        <f>IF('СРОКИ'!CH10&lt;'СРОКИ'!$B$6,'CF_Продажа'!CH18,0)</f>
        <v/>
      </c>
      <c r="CI19" s="47">
        <f>IF('СРОКИ'!CI10&lt;'СРОКИ'!$B$6,'CF_Продажа'!CI18,0)</f>
        <v/>
      </c>
      <c r="CJ19" s="47">
        <f>IF('СРОКИ'!CJ10&lt;'СРОКИ'!$B$6,'CF_Продажа'!CJ18,0)</f>
        <v/>
      </c>
      <c r="CK19" s="47">
        <f>IF('СРОКИ'!CK10&lt;'СРОКИ'!$B$6,'CF_Продажа'!CK18,0)</f>
        <v/>
      </c>
      <c r="CL19" s="47">
        <f>IF('СРОКИ'!CL10&lt;'СРОКИ'!$B$6,'CF_Продажа'!CL18,0)</f>
        <v/>
      </c>
      <c r="CM19" s="47">
        <f>IF('СРОКИ'!CM10&lt;'СРОКИ'!$B$6,'CF_Продажа'!CM18,0)</f>
        <v/>
      </c>
      <c r="CN19" s="47">
        <f>IF('СРОКИ'!CN10&lt;'СРОКИ'!$B$6,'CF_Продажа'!CN18,0)</f>
        <v/>
      </c>
      <c r="CO19" s="47">
        <f>IF('СРОКИ'!CO10&lt;'СРОКИ'!$B$6,'CF_Продажа'!CO18,0)</f>
        <v/>
      </c>
      <c r="CP19" s="47">
        <f>IF('СРОКИ'!CP10&lt;'СРОКИ'!$B$6,'CF_Продажа'!CP18,0)</f>
        <v/>
      </c>
      <c r="CQ19" s="47">
        <f>IF('СРОКИ'!CQ10&lt;'СРОКИ'!$B$6,'CF_Продажа'!CQ18,0)</f>
        <v/>
      </c>
      <c r="CR19" s="47">
        <f>IF('СРОКИ'!CR10&lt;'СРОКИ'!$B$6,'CF_Продажа'!CR18,0)</f>
        <v/>
      </c>
      <c r="CS19" s="47">
        <f>IF('СРОКИ'!CS10&lt;'СРОКИ'!$B$6,'CF_Продажа'!CS18,0)</f>
        <v/>
      </c>
      <c r="CT19" s="47">
        <f>IF('СРОКИ'!CT10&lt;'СРОКИ'!$B$6,'CF_Продажа'!CT18,0)</f>
        <v/>
      </c>
      <c r="CU19" s="47">
        <f>IF('СРОКИ'!CU10&lt;'СРОКИ'!$B$6,'CF_Продажа'!CU18,0)</f>
        <v/>
      </c>
      <c r="CV19" s="47">
        <f>IF('СРОКИ'!CV10&lt;'СРОКИ'!$B$6,'CF_Продажа'!CV18,0)</f>
        <v/>
      </c>
      <c r="CW19" s="47">
        <f>IF('СРОКИ'!CW10&lt;'СРОКИ'!$B$6,'CF_Продажа'!CW18,0)</f>
        <v/>
      </c>
      <c r="CX19" s="47">
        <f>IF('СРОКИ'!CX10&lt;'СРОКИ'!$B$6,'CF_Продажа'!CX18,0)</f>
        <v/>
      </c>
      <c r="CY19" s="47">
        <f>IF('СРОКИ'!CY10&lt;'СРОКИ'!$B$6,'CF_Продажа'!CY18,0)</f>
        <v/>
      </c>
      <c r="CZ19" s="47">
        <f>IF('СРОКИ'!CZ10&lt;'СРОКИ'!$B$6,'CF_Продажа'!CZ18,0)</f>
        <v/>
      </c>
      <c r="DA19" s="47">
        <f>IF('СРОКИ'!DA10&lt;'СРОКИ'!$B$6,'CF_Продажа'!DA18,0)</f>
        <v/>
      </c>
      <c r="DB19" s="47">
        <f>IF('СРОКИ'!DB10&lt;'СРОКИ'!$B$6,'CF_Продажа'!DB18,0)</f>
        <v/>
      </c>
      <c r="DC19" s="47">
        <f>IF('СРОКИ'!DC10&lt;'СРОКИ'!$B$6,'CF_Продажа'!DC18,0)</f>
        <v/>
      </c>
      <c r="DD19" s="47">
        <f>IF('СРОКИ'!DD10&lt;'СРОКИ'!$B$6,'CF_Продажа'!DD18,0)</f>
        <v/>
      </c>
      <c r="DE19" s="47">
        <f>IF('СРОКИ'!DE10&lt;'СРОКИ'!$B$6,'CF_Продажа'!DE18,0)</f>
        <v/>
      </c>
      <c r="DF19" s="47">
        <f>IF('СРОКИ'!DF10&lt;'СРОКИ'!$B$6,'CF_Продажа'!DF18,0)</f>
        <v/>
      </c>
      <c r="DG19" s="47">
        <f>IF('СРОКИ'!DG10&lt;'СРОКИ'!$B$6,'CF_Продажа'!DG18,0)</f>
        <v/>
      </c>
      <c r="DH19" s="47">
        <f>IF('СРОКИ'!DH10&lt;'СРОКИ'!$B$6,'CF_Продажа'!DH18,0)</f>
        <v/>
      </c>
      <c r="DI19" s="47">
        <f>IF('СРОКИ'!DI10&lt;'СРОКИ'!$B$6,'CF_Продажа'!DI18,0)</f>
        <v/>
      </c>
      <c r="DJ19" s="47">
        <f>IF('СРОКИ'!DJ10&lt;'СРОКИ'!$B$6,'CF_Продажа'!DJ18,0)</f>
        <v/>
      </c>
      <c r="DK19" s="47">
        <f>IF('СРОКИ'!DK10&lt;'СРОКИ'!$B$6,'CF_Продажа'!DK18,0)</f>
        <v/>
      </c>
      <c r="DL19" s="47">
        <f>IF('СРОКИ'!DL10&lt;'СРОКИ'!$B$6,'CF_Продажа'!DL18,0)</f>
        <v/>
      </c>
      <c r="DM19" s="47">
        <f>IF('СРОКИ'!DM10&lt;'СРОКИ'!$B$6,'CF_Продажа'!DM18,0)</f>
        <v/>
      </c>
    </row>
    <row r="20">
      <c r="A20" s="36" t="inlineStr">
        <is>
          <t>Проценты уплачены</t>
        </is>
      </c>
      <c r="B20" s="40">
        <f>SUM(D20:DM20)</f>
        <v/>
      </c>
      <c r="C20" s="37" t="inlineStr">
        <is>
          <t>млн ₽</t>
        </is>
      </c>
      <c r="D20" s="47">
        <f>IF('СРОКИ'!D10&gt;='СРОКИ'!$B$6,'CF_Продажа'!D18,0)*'CF_Продажа'!D6</f>
        <v/>
      </c>
      <c r="E20" s="47">
        <f>IF('СРОКИ'!E10&gt;='СРОКИ'!$B$6,'CF_Продажа'!E18,0)*'CF_Продажа'!E6</f>
        <v/>
      </c>
      <c r="F20" s="47">
        <f>IF('СРОКИ'!F10&gt;='СРОКИ'!$B$6,'CF_Продажа'!F18,0)*'CF_Продажа'!F6</f>
        <v/>
      </c>
      <c r="G20" s="47">
        <f>IF('СРОКИ'!G10&gt;='СРОКИ'!$B$6,'CF_Продажа'!G18,0)*'CF_Продажа'!G6</f>
        <v/>
      </c>
      <c r="H20" s="47">
        <f>IF('СРОКИ'!H10&gt;='СРОКИ'!$B$6,'CF_Продажа'!H18,0)*'CF_Продажа'!H6</f>
        <v/>
      </c>
      <c r="I20" s="47">
        <f>IF('СРОКИ'!I10&gt;='СРОКИ'!$B$6,'CF_Продажа'!I18,0)*'CF_Продажа'!I6</f>
        <v/>
      </c>
      <c r="J20" s="47">
        <f>IF('СРОКИ'!J10&gt;='СРОКИ'!$B$6,'CF_Продажа'!J18,0)*'CF_Продажа'!J6</f>
        <v/>
      </c>
      <c r="K20" s="47">
        <f>IF('СРОКИ'!K10&gt;='СРОКИ'!$B$6,'CF_Продажа'!K18,0)*'CF_Продажа'!K6</f>
        <v/>
      </c>
      <c r="L20" s="47">
        <f>IF('СРОКИ'!L10&gt;='СРОКИ'!$B$6,'CF_Продажа'!L18,0)*'CF_Продажа'!L6</f>
        <v/>
      </c>
      <c r="M20" s="47">
        <f>IF('СРОКИ'!M10&gt;='СРОКИ'!$B$6,'CF_Продажа'!M18,0)*'CF_Продажа'!M6</f>
        <v/>
      </c>
      <c r="N20" s="47">
        <f>IF('СРОКИ'!N10&gt;='СРОКИ'!$B$6,'CF_Продажа'!N18,0)*'CF_Продажа'!N6</f>
        <v/>
      </c>
      <c r="O20" s="47">
        <f>IF('СРОКИ'!O10&gt;='СРОКИ'!$B$6,'CF_Продажа'!O18,0)*'CF_Продажа'!O6</f>
        <v/>
      </c>
      <c r="P20" s="47">
        <f>IF('СРОКИ'!P10&gt;='СРОКИ'!$B$6,'CF_Продажа'!P18,0)*'CF_Продажа'!P6</f>
        <v/>
      </c>
      <c r="Q20" s="47">
        <f>IF('СРОКИ'!Q10&gt;='СРОКИ'!$B$6,'CF_Продажа'!Q18,0)*'CF_Продажа'!Q6</f>
        <v/>
      </c>
      <c r="R20" s="47">
        <f>IF('СРОКИ'!R10&gt;='СРОКИ'!$B$6,'CF_Продажа'!R18,0)*'CF_Продажа'!R6</f>
        <v/>
      </c>
      <c r="S20" s="47">
        <f>IF('СРОКИ'!S10&gt;='СРОКИ'!$B$6,'CF_Продажа'!S18,0)*'CF_Продажа'!S6</f>
        <v/>
      </c>
      <c r="T20" s="47">
        <f>IF('СРОКИ'!T10&gt;='СРОКИ'!$B$6,'CF_Продажа'!T18,0)*'CF_Продажа'!T6</f>
        <v/>
      </c>
      <c r="U20" s="47">
        <f>IF('СРОКИ'!U10&gt;='СРОКИ'!$B$6,'CF_Продажа'!U18,0)*'CF_Продажа'!U6</f>
        <v/>
      </c>
      <c r="V20" s="47">
        <f>IF('СРОКИ'!V10&gt;='СРОКИ'!$B$6,'CF_Продажа'!V18,0)*'CF_Продажа'!V6</f>
        <v/>
      </c>
      <c r="W20" s="47">
        <f>IF('СРОКИ'!W10&gt;='СРОКИ'!$B$6,'CF_Продажа'!W18,0)*'CF_Продажа'!W6</f>
        <v/>
      </c>
      <c r="X20" s="47">
        <f>IF('СРОКИ'!X10&gt;='СРОКИ'!$B$6,'CF_Продажа'!X18,0)*'CF_Продажа'!X6</f>
        <v/>
      </c>
      <c r="Y20" s="47">
        <f>IF('СРОКИ'!Y10&gt;='СРОКИ'!$B$6,'CF_Продажа'!Y18,0)*'CF_Продажа'!Y6</f>
        <v/>
      </c>
      <c r="Z20" s="47">
        <f>IF('СРОКИ'!Z10&gt;='СРОКИ'!$B$6,'CF_Продажа'!Z18,0)*'CF_Продажа'!Z6</f>
        <v/>
      </c>
      <c r="AA20" s="47">
        <f>IF('СРОКИ'!AA10&gt;='СРОКИ'!$B$6,'CF_Продажа'!AA18,0)*'CF_Продажа'!AA6</f>
        <v/>
      </c>
      <c r="AB20" s="47">
        <f>IF('СРОКИ'!AB10&gt;='СРОКИ'!$B$6,'CF_Продажа'!AB18,0)*'CF_Продажа'!AB6</f>
        <v/>
      </c>
      <c r="AC20" s="47">
        <f>IF('СРОКИ'!AC10&gt;='СРОКИ'!$B$6,'CF_Продажа'!AC18,0)*'CF_Продажа'!AC6</f>
        <v/>
      </c>
      <c r="AD20" s="47">
        <f>IF('СРОКИ'!AD10&gt;='СРОКИ'!$B$6,'CF_Продажа'!AD18,0)*'CF_Продажа'!AD6</f>
        <v/>
      </c>
      <c r="AE20" s="47">
        <f>IF('СРОКИ'!AE10&gt;='СРОКИ'!$B$6,'CF_Продажа'!AE18,0)*'CF_Продажа'!AE6</f>
        <v/>
      </c>
      <c r="AF20" s="47">
        <f>IF('СРОКИ'!AF10&gt;='СРОКИ'!$B$6,'CF_Продажа'!AF18,0)*'CF_Продажа'!AF6</f>
        <v/>
      </c>
      <c r="AG20" s="47">
        <f>IF('СРОКИ'!AG10&gt;='СРОКИ'!$B$6,'CF_Продажа'!AG18,0)*'CF_Продажа'!AG6</f>
        <v/>
      </c>
      <c r="AH20" s="47">
        <f>IF('СРОКИ'!AH10&gt;='СРОКИ'!$B$6,'CF_Продажа'!AH18,0)*'CF_Продажа'!AH6</f>
        <v/>
      </c>
      <c r="AI20" s="47">
        <f>IF('СРОКИ'!AI10&gt;='СРОКИ'!$B$6,'CF_Продажа'!AI18,0)*'CF_Продажа'!AI6</f>
        <v/>
      </c>
      <c r="AJ20" s="47">
        <f>IF('СРОКИ'!AJ10&gt;='СРОКИ'!$B$6,'CF_Продажа'!AJ18,0)*'CF_Продажа'!AJ6</f>
        <v/>
      </c>
      <c r="AK20" s="47">
        <f>IF('СРОКИ'!AK10&gt;='СРОКИ'!$B$6,'CF_Продажа'!AK18,0)*'CF_Продажа'!AK6</f>
        <v/>
      </c>
      <c r="AL20" s="47">
        <f>IF('СРОКИ'!AL10&gt;='СРОКИ'!$B$6,'CF_Продажа'!AL18,0)*'CF_Продажа'!AL6</f>
        <v/>
      </c>
      <c r="AM20" s="47">
        <f>IF('СРОКИ'!AM10&gt;='СРОКИ'!$B$6,'CF_Продажа'!AM18,0)*'CF_Продажа'!AM6</f>
        <v/>
      </c>
      <c r="AN20" s="47">
        <f>IF('СРОКИ'!AN10&gt;='СРОКИ'!$B$6,'CF_Продажа'!AN18,0)*'CF_Продажа'!AN6</f>
        <v/>
      </c>
      <c r="AO20" s="47">
        <f>IF('СРОКИ'!AO10&gt;='СРОКИ'!$B$6,'CF_Продажа'!AO18,0)*'CF_Продажа'!AO6</f>
        <v/>
      </c>
      <c r="AP20" s="47">
        <f>IF('СРОКИ'!AP10&gt;='СРОКИ'!$B$6,'CF_Продажа'!AP18,0)*'CF_Продажа'!AP6</f>
        <v/>
      </c>
      <c r="AQ20" s="47">
        <f>IF('СРОКИ'!AQ10&gt;='СРОКИ'!$B$6,'CF_Продажа'!AQ18,0)*'CF_Продажа'!AQ6</f>
        <v/>
      </c>
      <c r="AR20" s="47">
        <f>IF('СРОКИ'!AR10&gt;='СРОКИ'!$B$6,'CF_Продажа'!AR18,0)*'CF_Продажа'!AR6</f>
        <v/>
      </c>
      <c r="AS20" s="47">
        <f>IF('СРОКИ'!AS10&gt;='СРОКИ'!$B$6,'CF_Продажа'!AS18,0)*'CF_Продажа'!AS6</f>
        <v/>
      </c>
      <c r="AT20" s="47">
        <f>IF('СРОКИ'!AT10&gt;='СРОКИ'!$B$6,'CF_Продажа'!AT18,0)*'CF_Продажа'!AT6</f>
        <v/>
      </c>
      <c r="AU20" s="47">
        <f>IF('СРОКИ'!AU10&gt;='СРОКИ'!$B$6,'CF_Продажа'!AU18,0)*'CF_Продажа'!AU6</f>
        <v/>
      </c>
      <c r="AV20" s="47">
        <f>IF('СРОКИ'!AV10&gt;='СРОКИ'!$B$6,'CF_Продажа'!AV18,0)*'CF_Продажа'!AV6</f>
        <v/>
      </c>
      <c r="AW20" s="47">
        <f>IF('СРОКИ'!AW10&gt;='СРОКИ'!$B$6,'CF_Продажа'!AW18,0)*'CF_Продажа'!AW6</f>
        <v/>
      </c>
      <c r="AX20" s="47">
        <f>IF('СРОКИ'!AX10&gt;='СРОКИ'!$B$6,'CF_Продажа'!AX18,0)*'CF_Продажа'!AX6</f>
        <v/>
      </c>
      <c r="AY20" s="47">
        <f>IF('СРОКИ'!AY10&gt;='СРОКИ'!$B$6,'CF_Продажа'!AY18,0)*'CF_Продажа'!AY6</f>
        <v/>
      </c>
      <c r="AZ20" s="47">
        <f>IF('СРОКИ'!AZ10&gt;='СРОКИ'!$B$6,'CF_Продажа'!AZ18,0)*'CF_Продажа'!AZ6</f>
        <v/>
      </c>
      <c r="BA20" s="47">
        <f>IF('СРОКИ'!BA10&gt;='СРОКИ'!$B$6,'CF_Продажа'!BA18,0)*'CF_Продажа'!BA6</f>
        <v/>
      </c>
      <c r="BB20" s="47">
        <f>IF('СРОКИ'!BB10&gt;='СРОКИ'!$B$6,'CF_Продажа'!BB18,0)*'CF_Продажа'!BB6</f>
        <v/>
      </c>
      <c r="BC20" s="47">
        <f>IF('СРОКИ'!BC10&gt;='СРОКИ'!$B$6,'CF_Продажа'!BC18,0)*'CF_Продажа'!BC6</f>
        <v/>
      </c>
      <c r="BD20" s="47">
        <f>IF('СРОКИ'!BD10&gt;='СРОКИ'!$B$6,'CF_Продажа'!BD18,0)*'CF_Продажа'!BD6</f>
        <v/>
      </c>
      <c r="BE20" s="47">
        <f>IF('СРОКИ'!BE10&gt;='СРОКИ'!$B$6,'CF_Продажа'!BE18,0)*'CF_Продажа'!BE6</f>
        <v/>
      </c>
      <c r="BF20" s="47">
        <f>IF('СРОКИ'!BF10&gt;='СРОКИ'!$B$6,'CF_Продажа'!BF18,0)*'CF_Продажа'!BF6</f>
        <v/>
      </c>
      <c r="BG20" s="47">
        <f>IF('СРОКИ'!BG10&gt;='СРОКИ'!$B$6,'CF_Продажа'!BG18,0)*'CF_Продажа'!BG6</f>
        <v/>
      </c>
      <c r="BH20" s="47">
        <f>IF('СРОКИ'!BH10&gt;='СРОКИ'!$B$6,'CF_Продажа'!BH18,0)*'CF_Продажа'!BH6</f>
        <v/>
      </c>
      <c r="BI20" s="47">
        <f>IF('СРОКИ'!BI10&gt;='СРОКИ'!$B$6,'CF_Продажа'!BI18,0)*'CF_Продажа'!BI6</f>
        <v/>
      </c>
      <c r="BJ20" s="47">
        <f>IF('СРОКИ'!BJ10&gt;='СРОКИ'!$B$6,'CF_Продажа'!BJ18,0)*'CF_Продажа'!BJ6</f>
        <v/>
      </c>
      <c r="BK20" s="47">
        <f>IF('СРОКИ'!BK10&gt;='СРОКИ'!$B$6,'CF_Продажа'!BK18,0)*'CF_Продажа'!BK6</f>
        <v/>
      </c>
      <c r="BL20" s="47">
        <f>IF('СРОКИ'!BL10&gt;='СРОКИ'!$B$6,'CF_Продажа'!BL18,0)*'CF_Продажа'!BL6</f>
        <v/>
      </c>
      <c r="BM20" s="47">
        <f>IF('СРОКИ'!BM10&gt;='СРОКИ'!$B$6,'CF_Продажа'!BM18,0)*'CF_Продажа'!BM6</f>
        <v/>
      </c>
      <c r="BN20" s="47">
        <f>IF('СРОКИ'!BN10&gt;='СРОКИ'!$B$6,'CF_Продажа'!BN18,0)*'CF_Продажа'!BN6</f>
        <v/>
      </c>
      <c r="BO20" s="47">
        <f>IF('СРОКИ'!BO10&gt;='СРОКИ'!$B$6,'CF_Продажа'!BO18,0)*'CF_Продажа'!BO6</f>
        <v/>
      </c>
      <c r="BP20" s="47">
        <f>IF('СРОКИ'!BP10&gt;='СРОКИ'!$B$6,'CF_Продажа'!BP18,0)*'CF_Продажа'!BP6</f>
        <v/>
      </c>
      <c r="BQ20" s="47">
        <f>IF('СРОКИ'!BQ10&gt;='СРОКИ'!$B$6,'CF_Продажа'!BQ18,0)*'CF_Продажа'!BQ6</f>
        <v/>
      </c>
      <c r="BR20" s="47">
        <f>IF('СРОКИ'!BR10&gt;='СРОКИ'!$B$6,'CF_Продажа'!BR18,0)*'CF_Продажа'!BR6</f>
        <v/>
      </c>
      <c r="BS20" s="47">
        <f>IF('СРОКИ'!BS10&gt;='СРОКИ'!$B$6,'CF_Продажа'!BS18,0)*'CF_Продажа'!BS6</f>
        <v/>
      </c>
      <c r="BT20" s="47">
        <f>IF('СРОКИ'!BT10&gt;='СРОКИ'!$B$6,'CF_Продажа'!BT18,0)*'CF_Продажа'!BT6</f>
        <v/>
      </c>
      <c r="BU20" s="47">
        <f>IF('СРОКИ'!BU10&gt;='СРОКИ'!$B$6,'CF_Продажа'!BU18,0)*'CF_Продажа'!BU6</f>
        <v/>
      </c>
      <c r="BV20" s="47">
        <f>IF('СРОКИ'!BV10&gt;='СРОКИ'!$B$6,'CF_Продажа'!BV18,0)*'CF_Продажа'!BV6</f>
        <v/>
      </c>
      <c r="BW20" s="47">
        <f>IF('СРОКИ'!BW10&gt;='СРОКИ'!$B$6,'CF_Продажа'!BW18,0)*'CF_Продажа'!BW6</f>
        <v/>
      </c>
      <c r="BX20" s="47">
        <f>IF('СРОКИ'!BX10&gt;='СРОКИ'!$B$6,'CF_Продажа'!BX18,0)*'CF_Продажа'!BX6</f>
        <v/>
      </c>
      <c r="BY20" s="47">
        <f>IF('СРОКИ'!BY10&gt;='СРОКИ'!$B$6,'CF_Продажа'!BY18,0)*'CF_Продажа'!BY6</f>
        <v/>
      </c>
      <c r="BZ20" s="47">
        <f>IF('СРОКИ'!BZ10&gt;='СРОКИ'!$B$6,'CF_Продажа'!BZ18,0)*'CF_Продажа'!BZ6</f>
        <v/>
      </c>
      <c r="CA20" s="47">
        <f>IF('СРОКИ'!CA10&gt;='СРОКИ'!$B$6,'CF_Продажа'!CA18,0)*'CF_Продажа'!CA6</f>
        <v/>
      </c>
      <c r="CB20" s="47">
        <f>IF('СРОКИ'!CB10&gt;='СРОКИ'!$B$6,'CF_Продажа'!CB18,0)*'CF_Продажа'!CB6</f>
        <v/>
      </c>
      <c r="CC20" s="47">
        <f>IF('СРОКИ'!CC10&gt;='СРОКИ'!$B$6,'CF_Продажа'!CC18,0)*'CF_Продажа'!CC6</f>
        <v/>
      </c>
      <c r="CD20" s="47">
        <f>IF('СРОКИ'!CD10&gt;='СРОКИ'!$B$6,'CF_Продажа'!CD18,0)*'CF_Продажа'!CD6</f>
        <v/>
      </c>
      <c r="CE20" s="47">
        <f>IF('СРОКИ'!CE10&gt;='СРОКИ'!$B$6,'CF_Продажа'!CE18,0)*'CF_Продажа'!CE6</f>
        <v/>
      </c>
      <c r="CF20" s="47">
        <f>IF('СРОКИ'!CF10&gt;='СРОКИ'!$B$6,'CF_Продажа'!CF18,0)*'CF_Продажа'!CF6</f>
        <v/>
      </c>
      <c r="CG20" s="47">
        <f>IF('СРОКИ'!CG10&gt;='СРОКИ'!$B$6,'CF_Продажа'!CG18,0)*'CF_Продажа'!CG6</f>
        <v/>
      </c>
      <c r="CH20" s="47">
        <f>IF('СРОКИ'!CH10&gt;='СРОКИ'!$B$6,'CF_Продажа'!CH18,0)*'CF_Продажа'!CH6</f>
        <v/>
      </c>
      <c r="CI20" s="47">
        <f>IF('СРОКИ'!CI10&gt;='СРОКИ'!$B$6,'CF_Продажа'!CI18,0)*'CF_Продажа'!CI6</f>
        <v/>
      </c>
      <c r="CJ20" s="47">
        <f>IF('СРОКИ'!CJ10&gt;='СРОКИ'!$B$6,'CF_Продажа'!CJ18,0)*'CF_Продажа'!CJ6</f>
        <v/>
      </c>
      <c r="CK20" s="47">
        <f>IF('СРОКИ'!CK10&gt;='СРОКИ'!$B$6,'CF_Продажа'!CK18,0)*'CF_Продажа'!CK6</f>
        <v/>
      </c>
      <c r="CL20" s="47">
        <f>IF('СРОКИ'!CL10&gt;='СРОКИ'!$B$6,'CF_Продажа'!CL18,0)*'CF_Продажа'!CL6</f>
        <v/>
      </c>
      <c r="CM20" s="47">
        <f>IF('СРОКИ'!CM10&gt;='СРОКИ'!$B$6,'CF_Продажа'!CM18,0)*'CF_Продажа'!CM6</f>
        <v/>
      </c>
      <c r="CN20" s="47">
        <f>IF('СРОКИ'!CN10&gt;='СРОКИ'!$B$6,'CF_Продажа'!CN18,0)*'CF_Продажа'!CN6</f>
        <v/>
      </c>
      <c r="CO20" s="47">
        <f>IF('СРОКИ'!CO10&gt;='СРОКИ'!$B$6,'CF_Продажа'!CO18,0)*'CF_Продажа'!CO6</f>
        <v/>
      </c>
      <c r="CP20" s="47">
        <f>IF('СРОКИ'!CP10&gt;='СРОКИ'!$B$6,'CF_Продажа'!CP18,0)*'CF_Продажа'!CP6</f>
        <v/>
      </c>
      <c r="CQ20" s="47">
        <f>IF('СРОКИ'!CQ10&gt;='СРОКИ'!$B$6,'CF_Продажа'!CQ18,0)*'CF_Продажа'!CQ6</f>
        <v/>
      </c>
      <c r="CR20" s="47">
        <f>IF('СРОКИ'!CR10&gt;='СРОКИ'!$B$6,'CF_Продажа'!CR18,0)*'CF_Продажа'!CR6</f>
        <v/>
      </c>
      <c r="CS20" s="47">
        <f>IF('СРОКИ'!CS10&gt;='СРОКИ'!$B$6,'CF_Продажа'!CS18,0)*'CF_Продажа'!CS6</f>
        <v/>
      </c>
      <c r="CT20" s="47">
        <f>IF('СРОКИ'!CT10&gt;='СРОКИ'!$B$6,'CF_Продажа'!CT18,0)*'CF_Продажа'!CT6</f>
        <v/>
      </c>
      <c r="CU20" s="47">
        <f>IF('СРОКИ'!CU10&gt;='СРОКИ'!$B$6,'CF_Продажа'!CU18,0)*'CF_Продажа'!CU6</f>
        <v/>
      </c>
      <c r="CV20" s="47">
        <f>IF('СРОКИ'!CV10&gt;='СРОКИ'!$B$6,'CF_Продажа'!CV18,0)*'CF_Продажа'!CV6</f>
        <v/>
      </c>
      <c r="CW20" s="47">
        <f>IF('СРОКИ'!CW10&gt;='СРОКИ'!$B$6,'CF_Продажа'!CW18,0)*'CF_Продажа'!CW6</f>
        <v/>
      </c>
      <c r="CX20" s="47">
        <f>IF('СРОКИ'!CX10&gt;='СРОКИ'!$B$6,'CF_Продажа'!CX18,0)*'CF_Продажа'!CX6</f>
        <v/>
      </c>
      <c r="CY20" s="47">
        <f>IF('СРОКИ'!CY10&gt;='СРОКИ'!$B$6,'CF_Продажа'!CY18,0)*'CF_Продажа'!CY6</f>
        <v/>
      </c>
      <c r="CZ20" s="47">
        <f>IF('СРОКИ'!CZ10&gt;='СРОКИ'!$B$6,'CF_Продажа'!CZ18,0)*'CF_Продажа'!CZ6</f>
        <v/>
      </c>
      <c r="DA20" s="47">
        <f>IF('СРОКИ'!DA10&gt;='СРОКИ'!$B$6,'CF_Продажа'!DA18,0)*'CF_Продажа'!DA6</f>
        <v/>
      </c>
      <c r="DB20" s="47">
        <f>IF('СРОКИ'!DB10&gt;='СРОКИ'!$B$6,'CF_Продажа'!DB18,0)*'CF_Продажа'!DB6</f>
        <v/>
      </c>
      <c r="DC20" s="47">
        <f>IF('СРОКИ'!DC10&gt;='СРОКИ'!$B$6,'CF_Продажа'!DC18,0)*'CF_Продажа'!DC6</f>
        <v/>
      </c>
      <c r="DD20" s="47">
        <f>IF('СРОКИ'!DD10&gt;='СРОКИ'!$B$6,'CF_Продажа'!DD18,0)*'CF_Продажа'!DD6</f>
        <v/>
      </c>
      <c r="DE20" s="47">
        <f>IF('СРОКИ'!DE10&gt;='СРОКИ'!$B$6,'CF_Продажа'!DE18,0)*'CF_Продажа'!DE6</f>
        <v/>
      </c>
      <c r="DF20" s="47">
        <f>IF('СРОКИ'!DF10&gt;='СРОКИ'!$B$6,'CF_Продажа'!DF18,0)*'CF_Продажа'!DF6</f>
        <v/>
      </c>
      <c r="DG20" s="47">
        <f>IF('СРОКИ'!DG10&gt;='СРОКИ'!$B$6,'CF_Продажа'!DG18,0)*'CF_Продажа'!DG6</f>
        <v/>
      </c>
      <c r="DH20" s="47">
        <f>IF('СРОКИ'!DH10&gt;='СРОКИ'!$B$6,'CF_Продажа'!DH18,0)*'CF_Продажа'!DH6</f>
        <v/>
      </c>
      <c r="DI20" s="47">
        <f>IF('СРОКИ'!DI10&gt;='СРОКИ'!$B$6,'CF_Продажа'!DI18,0)*'CF_Продажа'!DI6</f>
        <v/>
      </c>
      <c r="DJ20" s="47">
        <f>IF('СРОКИ'!DJ10&gt;='СРОКИ'!$B$6,'CF_Продажа'!DJ18,0)*'CF_Продажа'!DJ6</f>
        <v/>
      </c>
      <c r="DK20" s="47">
        <f>IF('СРОКИ'!DK10&gt;='СРОКИ'!$B$6,'CF_Продажа'!DK18,0)*'CF_Продажа'!DK6</f>
        <v/>
      </c>
      <c r="DL20" s="47">
        <f>IF('СРОКИ'!DL10&gt;='СРОКИ'!$B$6,'CF_Продажа'!DL18,0)*'CF_Продажа'!DL6</f>
        <v/>
      </c>
      <c r="DM20" s="47">
        <f>IF('СРОКИ'!DM10&gt;='СРОКИ'!$B$6,'CF_Продажа'!DM18,0)*'CF_Продажа'!DM6</f>
        <v/>
      </c>
    </row>
    <row r="21">
      <c r="A21" s="36" t="inlineStr">
        <is>
          <t>Долг до погашения</t>
        </is>
      </c>
      <c r="B21" s="10" t="n"/>
      <c r="C21" s="37" t="inlineStr">
        <is>
          <t>млн ₽</t>
        </is>
      </c>
      <c r="D21" s="47">
        <f>'CF_Продажа'!D19+'CF_Продажа'!D17</f>
        <v/>
      </c>
      <c r="E21" s="47">
        <f>'CF_Продажа'!D24+'CF_Продажа'!E19+'CF_Продажа'!E17</f>
        <v/>
      </c>
      <c r="F21" s="47">
        <f>'CF_Продажа'!E24+'CF_Продажа'!F19+'CF_Продажа'!F17</f>
        <v/>
      </c>
      <c r="G21" s="47">
        <f>'CF_Продажа'!F24+'CF_Продажа'!G19+'CF_Продажа'!G17</f>
        <v/>
      </c>
      <c r="H21" s="47">
        <f>'CF_Продажа'!G24+'CF_Продажа'!H19+'CF_Продажа'!H17</f>
        <v/>
      </c>
      <c r="I21" s="47">
        <f>'CF_Продажа'!H24+'CF_Продажа'!I19+'CF_Продажа'!I17</f>
        <v/>
      </c>
      <c r="J21" s="47">
        <f>'CF_Продажа'!I24+'CF_Продажа'!J19+'CF_Продажа'!J17</f>
        <v/>
      </c>
      <c r="K21" s="47">
        <f>'CF_Продажа'!J24+'CF_Продажа'!K19+'CF_Продажа'!K17</f>
        <v/>
      </c>
      <c r="L21" s="47">
        <f>'CF_Продажа'!K24+'CF_Продажа'!L19+'CF_Продажа'!L17</f>
        <v/>
      </c>
      <c r="M21" s="47">
        <f>'CF_Продажа'!L24+'CF_Продажа'!M19+'CF_Продажа'!M17</f>
        <v/>
      </c>
      <c r="N21" s="47">
        <f>'CF_Продажа'!M24+'CF_Продажа'!N19+'CF_Продажа'!N17</f>
        <v/>
      </c>
      <c r="O21" s="47">
        <f>'CF_Продажа'!N24+'CF_Продажа'!O19+'CF_Продажа'!O17</f>
        <v/>
      </c>
      <c r="P21" s="47">
        <f>'CF_Продажа'!O24+'CF_Продажа'!P19+'CF_Продажа'!P17</f>
        <v/>
      </c>
      <c r="Q21" s="47">
        <f>'CF_Продажа'!P24+'CF_Продажа'!Q19+'CF_Продажа'!Q17</f>
        <v/>
      </c>
      <c r="R21" s="47">
        <f>'CF_Продажа'!Q24+'CF_Продажа'!R19+'CF_Продажа'!R17</f>
        <v/>
      </c>
      <c r="S21" s="47">
        <f>'CF_Продажа'!R24+'CF_Продажа'!S19+'CF_Продажа'!S17</f>
        <v/>
      </c>
      <c r="T21" s="47">
        <f>'CF_Продажа'!S24+'CF_Продажа'!T19+'CF_Продажа'!T17</f>
        <v/>
      </c>
      <c r="U21" s="47">
        <f>'CF_Продажа'!T24+'CF_Продажа'!U19+'CF_Продажа'!U17</f>
        <v/>
      </c>
      <c r="V21" s="47">
        <f>'CF_Продажа'!U24+'CF_Продажа'!V19+'CF_Продажа'!V17</f>
        <v/>
      </c>
      <c r="W21" s="47">
        <f>'CF_Продажа'!V24+'CF_Продажа'!W19+'CF_Продажа'!W17</f>
        <v/>
      </c>
      <c r="X21" s="47">
        <f>'CF_Продажа'!W24+'CF_Продажа'!X19+'CF_Продажа'!X17</f>
        <v/>
      </c>
      <c r="Y21" s="47">
        <f>'CF_Продажа'!X24+'CF_Продажа'!Y19+'CF_Продажа'!Y17</f>
        <v/>
      </c>
      <c r="Z21" s="47">
        <f>'CF_Продажа'!Y24+'CF_Продажа'!Z19+'CF_Продажа'!Z17</f>
        <v/>
      </c>
      <c r="AA21" s="47">
        <f>'CF_Продажа'!Z24+'CF_Продажа'!AA19+'CF_Продажа'!AA17</f>
        <v/>
      </c>
      <c r="AB21" s="47">
        <f>'CF_Продажа'!AA24+'CF_Продажа'!AB19+'CF_Продажа'!AB17</f>
        <v/>
      </c>
      <c r="AC21" s="47">
        <f>'CF_Продажа'!AB24+'CF_Продажа'!AC19+'CF_Продажа'!AC17</f>
        <v/>
      </c>
      <c r="AD21" s="47">
        <f>'CF_Продажа'!AC24+'CF_Продажа'!AD19+'CF_Продажа'!AD17</f>
        <v/>
      </c>
      <c r="AE21" s="47">
        <f>'CF_Продажа'!AD24+'CF_Продажа'!AE19+'CF_Продажа'!AE17</f>
        <v/>
      </c>
      <c r="AF21" s="47">
        <f>'CF_Продажа'!AE24+'CF_Продажа'!AF19+'CF_Продажа'!AF17</f>
        <v/>
      </c>
      <c r="AG21" s="47">
        <f>'CF_Продажа'!AF24+'CF_Продажа'!AG19+'CF_Продажа'!AG17</f>
        <v/>
      </c>
      <c r="AH21" s="47">
        <f>'CF_Продажа'!AG24+'CF_Продажа'!AH19+'CF_Продажа'!AH17</f>
        <v/>
      </c>
      <c r="AI21" s="47">
        <f>'CF_Продажа'!AH24+'CF_Продажа'!AI19+'CF_Продажа'!AI17</f>
        <v/>
      </c>
      <c r="AJ21" s="47">
        <f>'CF_Продажа'!AI24+'CF_Продажа'!AJ19+'CF_Продажа'!AJ17</f>
        <v/>
      </c>
      <c r="AK21" s="47">
        <f>'CF_Продажа'!AJ24+'CF_Продажа'!AK19+'CF_Продажа'!AK17</f>
        <v/>
      </c>
      <c r="AL21" s="47">
        <f>'CF_Продажа'!AK24+'CF_Продажа'!AL19+'CF_Продажа'!AL17</f>
        <v/>
      </c>
      <c r="AM21" s="47">
        <f>'CF_Продажа'!AL24+'CF_Продажа'!AM19+'CF_Продажа'!AM17</f>
        <v/>
      </c>
      <c r="AN21" s="47">
        <f>'CF_Продажа'!AM24+'CF_Продажа'!AN19+'CF_Продажа'!AN17</f>
        <v/>
      </c>
      <c r="AO21" s="47">
        <f>'CF_Продажа'!AN24+'CF_Продажа'!AO19+'CF_Продажа'!AO17</f>
        <v/>
      </c>
      <c r="AP21" s="47">
        <f>'CF_Продажа'!AO24+'CF_Продажа'!AP19+'CF_Продажа'!AP17</f>
        <v/>
      </c>
      <c r="AQ21" s="47">
        <f>'CF_Продажа'!AP24+'CF_Продажа'!AQ19+'CF_Продажа'!AQ17</f>
        <v/>
      </c>
      <c r="AR21" s="47">
        <f>'CF_Продажа'!AQ24+'CF_Продажа'!AR19+'CF_Продажа'!AR17</f>
        <v/>
      </c>
      <c r="AS21" s="47">
        <f>'CF_Продажа'!AR24+'CF_Продажа'!AS19+'CF_Продажа'!AS17</f>
        <v/>
      </c>
      <c r="AT21" s="47">
        <f>'CF_Продажа'!AS24+'CF_Продажа'!AT19+'CF_Продажа'!AT17</f>
        <v/>
      </c>
      <c r="AU21" s="47">
        <f>'CF_Продажа'!AT24+'CF_Продажа'!AU19+'CF_Продажа'!AU17</f>
        <v/>
      </c>
      <c r="AV21" s="47">
        <f>'CF_Продажа'!AU24+'CF_Продажа'!AV19+'CF_Продажа'!AV17</f>
        <v/>
      </c>
      <c r="AW21" s="47">
        <f>'CF_Продажа'!AV24+'CF_Продажа'!AW19+'CF_Продажа'!AW17</f>
        <v/>
      </c>
      <c r="AX21" s="47">
        <f>'CF_Продажа'!AW24+'CF_Продажа'!AX19+'CF_Продажа'!AX17</f>
        <v/>
      </c>
      <c r="AY21" s="47">
        <f>'CF_Продажа'!AX24+'CF_Продажа'!AY19+'CF_Продажа'!AY17</f>
        <v/>
      </c>
      <c r="AZ21" s="47">
        <f>'CF_Продажа'!AY24+'CF_Продажа'!AZ19+'CF_Продажа'!AZ17</f>
        <v/>
      </c>
      <c r="BA21" s="47">
        <f>'CF_Продажа'!AZ24+'CF_Продажа'!BA19+'CF_Продажа'!BA17</f>
        <v/>
      </c>
      <c r="BB21" s="47">
        <f>'CF_Продажа'!BA24+'CF_Продажа'!BB19+'CF_Продажа'!BB17</f>
        <v/>
      </c>
      <c r="BC21" s="47">
        <f>'CF_Продажа'!BB24+'CF_Продажа'!BC19+'CF_Продажа'!BC17</f>
        <v/>
      </c>
      <c r="BD21" s="47">
        <f>'CF_Продажа'!BC24+'CF_Продажа'!BD19+'CF_Продажа'!BD17</f>
        <v/>
      </c>
      <c r="BE21" s="47">
        <f>'CF_Продажа'!BD24+'CF_Продажа'!BE19+'CF_Продажа'!BE17</f>
        <v/>
      </c>
      <c r="BF21" s="47">
        <f>'CF_Продажа'!BE24+'CF_Продажа'!BF19+'CF_Продажа'!BF17</f>
        <v/>
      </c>
      <c r="BG21" s="47">
        <f>'CF_Продажа'!BF24+'CF_Продажа'!BG19+'CF_Продажа'!BG17</f>
        <v/>
      </c>
      <c r="BH21" s="47">
        <f>'CF_Продажа'!BG24+'CF_Продажа'!BH19+'CF_Продажа'!BH17</f>
        <v/>
      </c>
      <c r="BI21" s="47">
        <f>'CF_Продажа'!BH24+'CF_Продажа'!BI19+'CF_Продажа'!BI17</f>
        <v/>
      </c>
      <c r="BJ21" s="47">
        <f>'CF_Продажа'!BI24+'CF_Продажа'!BJ19+'CF_Продажа'!BJ17</f>
        <v/>
      </c>
      <c r="BK21" s="47">
        <f>'CF_Продажа'!BJ24+'CF_Продажа'!BK19+'CF_Продажа'!BK17</f>
        <v/>
      </c>
      <c r="BL21" s="47">
        <f>'CF_Продажа'!BK24+'CF_Продажа'!BL19+'CF_Продажа'!BL17</f>
        <v/>
      </c>
      <c r="BM21" s="47">
        <f>'CF_Продажа'!BL24+'CF_Продажа'!BM19+'CF_Продажа'!BM17</f>
        <v/>
      </c>
      <c r="BN21" s="47">
        <f>'CF_Продажа'!BM24+'CF_Продажа'!BN19+'CF_Продажа'!BN17</f>
        <v/>
      </c>
      <c r="BO21" s="47">
        <f>'CF_Продажа'!BN24+'CF_Продажа'!BO19+'CF_Продажа'!BO17</f>
        <v/>
      </c>
      <c r="BP21" s="47">
        <f>'CF_Продажа'!BO24+'CF_Продажа'!BP19+'CF_Продажа'!BP17</f>
        <v/>
      </c>
      <c r="BQ21" s="47">
        <f>'CF_Продажа'!BP24+'CF_Продажа'!BQ19+'CF_Продажа'!BQ17</f>
        <v/>
      </c>
      <c r="BR21" s="47">
        <f>'CF_Продажа'!BQ24+'CF_Продажа'!BR19+'CF_Продажа'!BR17</f>
        <v/>
      </c>
      <c r="BS21" s="47">
        <f>'CF_Продажа'!BR24+'CF_Продажа'!BS19+'CF_Продажа'!BS17</f>
        <v/>
      </c>
      <c r="BT21" s="47">
        <f>'CF_Продажа'!BS24+'CF_Продажа'!BT19+'CF_Продажа'!BT17</f>
        <v/>
      </c>
      <c r="BU21" s="47">
        <f>'CF_Продажа'!BT24+'CF_Продажа'!BU19+'CF_Продажа'!BU17</f>
        <v/>
      </c>
      <c r="BV21" s="47">
        <f>'CF_Продажа'!BU24+'CF_Продажа'!BV19+'CF_Продажа'!BV17</f>
        <v/>
      </c>
      <c r="BW21" s="47">
        <f>'CF_Продажа'!BV24+'CF_Продажа'!BW19+'CF_Продажа'!BW17</f>
        <v/>
      </c>
      <c r="BX21" s="47">
        <f>'CF_Продажа'!BW24+'CF_Продажа'!BX19+'CF_Продажа'!BX17</f>
        <v/>
      </c>
      <c r="BY21" s="47">
        <f>'CF_Продажа'!BX24+'CF_Продажа'!BY19+'CF_Продажа'!BY17</f>
        <v/>
      </c>
      <c r="BZ21" s="47">
        <f>'CF_Продажа'!BY24+'CF_Продажа'!BZ19+'CF_Продажа'!BZ17</f>
        <v/>
      </c>
      <c r="CA21" s="47">
        <f>'CF_Продажа'!BZ24+'CF_Продажа'!CA19+'CF_Продажа'!CA17</f>
        <v/>
      </c>
      <c r="CB21" s="47">
        <f>'CF_Продажа'!CA24+'CF_Продажа'!CB19+'CF_Продажа'!CB17</f>
        <v/>
      </c>
      <c r="CC21" s="47">
        <f>'CF_Продажа'!CB24+'CF_Продажа'!CC19+'CF_Продажа'!CC17</f>
        <v/>
      </c>
      <c r="CD21" s="47">
        <f>'CF_Продажа'!CC24+'CF_Продажа'!CD19+'CF_Продажа'!CD17</f>
        <v/>
      </c>
      <c r="CE21" s="47">
        <f>'CF_Продажа'!CD24+'CF_Продажа'!CE19+'CF_Продажа'!CE17</f>
        <v/>
      </c>
      <c r="CF21" s="47">
        <f>'CF_Продажа'!CE24+'CF_Продажа'!CF19+'CF_Продажа'!CF17</f>
        <v/>
      </c>
      <c r="CG21" s="47">
        <f>'CF_Продажа'!CF24+'CF_Продажа'!CG19+'CF_Продажа'!CG17</f>
        <v/>
      </c>
      <c r="CH21" s="47">
        <f>'CF_Продажа'!CG24+'CF_Продажа'!CH19+'CF_Продажа'!CH17</f>
        <v/>
      </c>
      <c r="CI21" s="47">
        <f>'CF_Продажа'!CH24+'CF_Продажа'!CI19+'CF_Продажа'!CI17</f>
        <v/>
      </c>
      <c r="CJ21" s="47">
        <f>'CF_Продажа'!CI24+'CF_Продажа'!CJ19+'CF_Продажа'!CJ17</f>
        <v/>
      </c>
      <c r="CK21" s="47">
        <f>'CF_Продажа'!CJ24+'CF_Продажа'!CK19+'CF_Продажа'!CK17</f>
        <v/>
      </c>
      <c r="CL21" s="47">
        <f>'CF_Продажа'!CK24+'CF_Продажа'!CL19+'CF_Продажа'!CL17</f>
        <v/>
      </c>
      <c r="CM21" s="47">
        <f>'CF_Продажа'!CL24+'CF_Продажа'!CM19+'CF_Продажа'!CM17</f>
        <v/>
      </c>
      <c r="CN21" s="47">
        <f>'CF_Продажа'!CM24+'CF_Продажа'!CN19+'CF_Продажа'!CN17</f>
        <v/>
      </c>
      <c r="CO21" s="47">
        <f>'CF_Продажа'!CN24+'CF_Продажа'!CO19+'CF_Продажа'!CO17</f>
        <v/>
      </c>
      <c r="CP21" s="47">
        <f>'CF_Продажа'!CO24+'CF_Продажа'!CP19+'CF_Продажа'!CP17</f>
        <v/>
      </c>
      <c r="CQ21" s="47">
        <f>'CF_Продажа'!CP24+'CF_Продажа'!CQ19+'CF_Продажа'!CQ17</f>
        <v/>
      </c>
      <c r="CR21" s="47">
        <f>'CF_Продажа'!CQ24+'CF_Продажа'!CR19+'CF_Продажа'!CR17</f>
        <v/>
      </c>
      <c r="CS21" s="47">
        <f>'CF_Продажа'!CR24+'CF_Продажа'!CS19+'CF_Продажа'!CS17</f>
        <v/>
      </c>
      <c r="CT21" s="47">
        <f>'CF_Продажа'!CS24+'CF_Продажа'!CT19+'CF_Продажа'!CT17</f>
        <v/>
      </c>
      <c r="CU21" s="47">
        <f>'CF_Продажа'!CT24+'CF_Продажа'!CU19+'CF_Продажа'!CU17</f>
        <v/>
      </c>
      <c r="CV21" s="47">
        <f>'CF_Продажа'!CU24+'CF_Продажа'!CV19+'CF_Продажа'!CV17</f>
        <v/>
      </c>
      <c r="CW21" s="47">
        <f>'CF_Продажа'!CV24+'CF_Продажа'!CW19+'CF_Продажа'!CW17</f>
        <v/>
      </c>
      <c r="CX21" s="47">
        <f>'CF_Продажа'!CW24+'CF_Продажа'!CX19+'CF_Продажа'!CX17</f>
        <v/>
      </c>
      <c r="CY21" s="47">
        <f>'CF_Продажа'!CX24+'CF_Продажа'!CY19+'CF_Продажа'!CY17</f>
        <v/>
      </c>
      <c r="CZ21" s="47">
        <f>'CF_Продажа'!CY24+'CF_Продажа'!CZ19+'CF_Продажа'!CZ17</f>
        <v/>
      </c>
      <c r="DA21" s="47">
        <f>'CF_Продажа'!CZ24+'CF_Продажа'!DA19+'CF_Продажа'!DA17</f>
        <v/>
      </c>
      <c r="DB21" s="47">
        <f>'CF_Продажа'!DA24+'CF_Продажа'!DB19+'CF_Продажа'!DB17</f>
        <v/>
      </c>
      <c r="DC21" s="47">
        <f>'CF_Продажа'!DB24+'CF_Продажа'!DC19+'CF_Продажа'!DC17</f>
        <v/>
      </c>
      <c r="DD21" s="47">
        <f>'CF_Продажа'!DC24+'CF_Продажа'!DD19+'CF_Продажа'!DD17</f>
        <v/>
      </c>
      <c r="DE21" s="47">
        <f>'CF_Продажа'!DD24+'CF_Продажа'!DE19+'CF_Продажа'!DE17</f>
        <v/>
      </c>
      <c r="DF21" s="47">
        <f>'CF_Продажа'!DE24+'CF_Продажа'!DF19+'CF_Продажа'!DF17</f>
        <v/>
      </c>
      <c r="DG21" s="47">
        <f>'CF_Продажа'!DF24+'CF_Продажа'!DG19+'CF_Продажа'!DG17</f>
        <v/>
      </c>
      <c r="DH21" s="47">
        <f>'CF_Продажа'!DG24+'CF_Продажа'!DH19+'CF_Продажа'!DH17</f>
        <v/>
      </c>
      <c r="DI21" s="47">
        <f>'CF_Продажа'!DH24+'CF_Продажа'!DI19+'CF_Продажа'!DI17</f>
        <v/>
      </c>
      <c r="DJ21" s="47">
        <f>'CF_Продажа'!DI24+'CF_Продажа'!DJ19+'CF_Продажа'!DJ17</f>
        <v/>
      </c>
      <c r="DK21" s="47">
        <f>'CF_Продажа'!DJ24+'CF_Продажа'!DK19+'CF_Продажа'!DK17</f>
        <v/>
      </c>
      <c r="DL21" s="47">
        <f>'CF_Продажа'!DK24+'CF_Продажа'!DL19+'CF_Продажа'!DL17</f>
        <v/>
      </c>
      <c r="DM21" s="47">
        <f>'CF_Продажа'!DL24+'CF_Продажа'!DM19+'CF_Продажа'!DM17</f>
        <v/>
      </c>
    </row>
    <row r="22">
      <c r="A22" s="36" t="inlineStr">
        <is>
          <t>Деньги на погашение</t>
        </is>
      </c>
      <c r="B22" s="40">
        <f>SUM(D22:DM22)</f>
        <v/>
      </c>
      <c r="C22" s="37" t="inlineStr">
        <is>
          <t>млн ₽</t>
        </is>
      </c>
      <c r="D22" s="47">
        <f>'CF_Продажа'!D7-'CF_Продажа'!D8-'CF_Продажа'!D13-'CF_Продажа'!D20</f>
        <v/>
      </c>
      <c r="E22" s="47">
        <f>'CF_Продажа'!E7-'CF_Продажа'!E8-'CF_Продажа'!E13-'CF_Продажа'!E20</f>
        <v/>
      </c>
      <c r="F22" s="47">
        <f>'CF_Продажа'!F7-'CF_Продажа'!F8-'CF_Продажа'!F13-'CF_Продажа'!F20</f>
        <v/>
      </c>
      <c r="G22" s="47">
        <f>'CF_Продажа'!G7-'CF_Продажа'!G8-'CF_Продажа'!G13-'CF_Продажа'!G20</f>
        <v/>
      </c>
      <c r="H22" s="47">
        <f>'CF_Продажа'!H7-'CF_Продажа'!H8-'CF_Продажа'!H13-'CF_Продажа'!H20</f>
        <v/>
      </c>
      <c r="I22" s="47">
        <f>'CF_Продажа'!I7-'CF_Продажа'!I8-'CF_Продажа'!I13-'CF_Продажа'!I20</f>
        <v/>
      </c>
      <c r="J22" s="47">
        <f>'CF_Продажа'!J7-'CF_Продажа'!J8-'CF_Продажа'!J13-'CF_Продажа'!J20</f>
        <v/>
      </c>
      <c r="K22" s="47">
        <f>'CF_Продажа'!K7-'CF_Продажа'!K8-'CF_Продажа'!K13-'CF_Продажа'!K20</f>
        <v/>
      </c>
      <c r="L22" s="47">
        <f>'CF_Продажа'!L7-'CF_Продажа'!L8-'CF_Продажа'!L13-'CF_Продажа'!L20</f>
        <v/>
      </c>
      <c r="M22" s="47">
        <f>'CF_Продажа'!M7-'CF_Продажа'!M8-'CF_Продажа'!M13-'CF_Продажа'!M20</f>
        <v/>
      </c>
      <c r="N22" s="47">
        <f>'CF_Продажа'!N7-'CF_Продажа'!N8-'CF_Продажа'!N13-'CF_Продажа'!N20</f>
        <v/>
      </c>
      <c r="O22" s="47">
        <f>'CF_Продажа'!O7-'CF_Продажа'!O8-'CF_Продажа'!O13-'CF_Продажа'!O20</f>
        <v/>
      </c>
      <c r="P22" s="47">
        <f>'CF_Продажа'!P7-'CF_Продажа'!P8-'CF_Продажа'!P13-'CF_Продажа'!P20</f>
        <v/>
      </c>
      <c r="Q22" s="47">
        <f>'CF_Продажа'!Q7-'CF_Продажа'!Q8-'CF_Продажа'!Q13-'CF_Продажа'!Q20</f>
        <v/>
      </c>
      <c r="R22" s="47">
        <f>'CF_Продажа'!R7-'CF_Продажа'!R8-'CF_Продажа'!R13-'CF_Продажа'!R20</f>
        <v/>
      </c>
      <c r="S22" s="47">
        <f>'CF_Продажа'!S7-'CF_Продажа'!S8-'CF_Продажа'!S13-'CF_Продажа'!S20</f>
        <v/>
      </c>
      <c r="T22" s="47">
        <f>'CF_Продажа'!T7-'CF_Продажа'!T8-'CF_Продажа'!T13-'CF_Продажа'!T20</f>
        <v/>
      </c>
      <c r="U22" s="47">
        <f>'CF_Продажа'!U7-'CF_Продажа'!U8-'CF_Продажа'!U13-'CF_Продажа'!U20</f>
        <v/>
      </c>
      <c r="V22" s="47">
        <f>'CF_Продажа'!V7-'CF_Продажа'!V8-'CF_Продажа'!V13-'CF_Продажа'!V20</f>
        <v/>
      </c>
      <c r="W22" s="47">
        <f>'CF_Продажа'!W7-'CF_Продажа'!W8-'CF_Продажа'!W13-'CF_Продажа'!W20</f>
        <v/>
      </c>
      <c r="X22" s="47">
        <f>'CF_Продажа'!X7-'CF_Продажа'!X8-'CF_Продажа'!X13-'CF_Продажа'!X20</f>
        <v/>
      </c>
      <c r="Y22" s="47">
        <f>'CF_Продажа'!Y7-'CF_Продажа'!Y8-'CF_Продажа'!Y13-'CF_Продажа'!Y20</f>
        <v/>
      </c>
      <c r="Z22" s="47">
        <f>'CF_Продажа'!Z7-'CF_Продажа'!Z8-'CF_Продажа'!Z13-'CF_Продажа'!Z20</f>
        <v/>
      </c>
      <c r="AA22" s="47">
        <f>'CF_Продажа'!AA7-'CF_Продажа'!AA8-'CF_Продажа'!AA13-'CF_Продажа'!AA20</f>
        <v/>
      </c>
      <c r="AB22" s="47">
        <f>'CF_Продажа'!AB7-'CF_Продажа'!AB8-'CF_Продажа'!AB13-'CF_Продажа'!AB20</f>
        <v/>
      </c>
      <c r="AC22" s="47">
        <f>'CF_Продажа'!AC7-'CF_Продажа'!AC8-'CF_Продажа'!AC13-'CF_Продажа'!AC20</f>
        <v/>
      </c>
      <c r="AD22" s="47">
        <f>'CF_Продажа'!AD7-'CF_Продажа'!AD8-'CF_Продажа'!AD13-'CF_Продажа'!AD20</f>
        <v/>
      </c>
      <c r="AE22" s="47">
        <f>'CF_Продажа'!AE7-'CF_Продажа'!AE8-'CF_Продажа'!AE13-'CF_Продажа'!AE20</f>
        <v/>
      </c>
      <c r="AF22" s="47">
        <f>'CF_Продажа'!AF7-'CF_Продажа'!AF8-'CF_Продажа'!AF13-'CF_Продажа'!AF20</f>
        <v/>
      </c>
      <c r="AG22" s="47">
        <f>'CF_Продажа'!AG7-'CF_Продажа'!AG8-'CF_Продажа'!AG13-'CF_Продажа'!AG20</f>
        <v/>
      </c>
      <c r="AH22" s="47">
        <f>'CF_Продажа'!AH7-'CF_Продажа'!AH8-'CF_Продажа'!AH13-'CF_Продажа'!AH20</f>
        <v/>
      </c>
      <c r="AI22" s="47">
        <f>'CF_Продажа'!AI7-'CF_Продажа'!AI8-'CF_Продажа'!AI13-'CF_Продажа'!AI20</f>
        <v/>
      </c>
      <c r="AJ22" s="47">
        <f>'CF_Продажа'!AJ7-'CF_Продажа'!AJ8-'CF_Продажа'!AJ13-'CF_Продажа'!AJ20</f>
        <v/>
      </c>
      <c r="AK22" s="47">
        <f>'CF_Продажа'!AK7-'CF_Продажа'!AK8-'CF_Продажа'!AK13-'CF_Продажа'!AK20</f>
        <v/>
      </c>
      <c r="AL22" s="47">
        <f>'CF_Продажа'!AL7-'CF_Продажа'!AL8-'CF_Продажа'!AL13-'CF_Продажа'!AL20</f>
        <v/>
      </c>
      <c r="AM22" s="47">
        <f>'CF_Продажа'!AM7-'CF_Продажа'!AM8-'CF_Продажа'!AM13-'CF_Продажа'!AM20</f>
        <v/>
      </c>
      <c r="AN22" s="47">
        <f>'CF_Продажа'!AN7-'CF_Продажа'!AN8-'CF_Продажа'!AN13-'CF_Продажа'!AN20</f>
        <v/>
      </c>
      <c r="AO22" s="47">
        <f>'CF_Продажа'!AO7-'CF_Продажа'!AO8-'CF_Продажа'!AO13-'CF_Продажа'!AO20</f>
        <v/>
      </c>
      <c r="AP22" s="47">
        <f>'CF_Продажа'!AP7-'CF_Продажа'!AP8-'CF_Продажа'!AP13-'CF_Продажа'!AP20</f>
        <v/>
      </c>
      <c r="AQ22" s="47">
        <f>'CF_Продажа'!AQ7-'CF_Продажа'!AQ8-'CF_Продажа'!AQ13-'CF_Продажа'!AQ20</f>
        <v/>
      </c>
      <c r="AR22" s="47">
        <f>'CF_Продажа'!AR7-'CF_Продажа'!AR8-'CF_Продажа'!AR13-'CF_Продажа'!AR20</f>
        <v/>
      </c>
      <c r="AS22" s="47">
        <f>'CF_Продажа'!AS7-'CF_Продажа'!AS8-'CF_Продажа'!AS13-'CF_Продажа'!AS20</f>
        <v/>
      </c>
      <c r="AT22" s="47">
        <f>'CF_Продажа'!AT7-'CF_Продажа'!AT8-'CF_Продажа'!AT13-'CF_Продажа'!AT20</f>
        <v/>
      </c>
      <c r="AU22" s="47">
        <f>'CF_Продажа'!AU7-'CF_Продажа'!AU8-'CF_Продажа'!AU13-'CF_Продажа'!AU20</f>
        <v/>
      </c>
      <c r="AV22" s="47">
        <f>'CF_Продажа'!AV7-'CF_Продажа'!AV8-'CF_Продажа'!AV13-'CF_Продажа'!AV20</f>
        <v/>
      </c>
      <c r="AW22" s="47">
        <f>'CF_Продажа'!AW7-'CF_Продажа'!AW8-'CF_Продажа'!AW13-'CF_Продажа'!AW20</f>
        <v/>
      </c>
      <c r="AX22" s="47">
        <f>'CF_Продажа'!AX7-'CF_Продажа'!AX8-'CF_Продажа'!AX13-'CF_Продажа'!AX20</f>
        <v/>
      </c>
      <c r="AY22" s="47">
        <f>'CF_Продажа'!AY7-'CF_Продажа'!AY8-'CF_Продажа'!AY13-'CF_Продажа'!AY20</f>
        <v/>
      </c>
      <c r="AZ22" s="47">
        <f>'CF_Продажа'!AZ7-'CF_Продажа'!AZ8-'CF_Продажа'!AZ13-'CF_Продажа'!AZ20</f>
        <v/>
      </c>
      <c r="BA22" s="47">
        <f>'CF_Продажа'!BA7-'CF_Продажа'!BA8-'CF_Продажа'!BA13-'CF_Продажа'!BA20</f>
        <v/>
      </c>
      <c r="BB22" s="47">
        <f>'CF_Продажа'!BB7-'CF_Продажа'!BB8-'CF_Продажа'!BB13-'CF_Продажа'!BB20</f>
        <v/>
      </c>
      <c r="BC22" s="47">
        <f>'CF_Продажа'!BC7-'CF_Продажа'!BC8-'CF_Продажа'!BC13-'CF_Продажа'!BC20</f>
        <v/>
      </c>
      <c r="BD22" s="47">
        <f>'CF_Продажа'!BD7-'CF_Продажа'!BD8-'CF_Продажа'!BD13-'CF_Продажа'!BD20</f>
        <v/>
      </c>
      <c r="BE22" s="47">
        <f>'CF_Продажа'!BE7-'CF_Продажа'!BE8-'CF_Продажа'!BE13-'CF_Продажа'!BE20</f>
        <v/>
      </c>
      <c r="BF22" s="47">
        <f>'CF_Продажа'!BF7-'CF_Продажа'!BF8-'CF_Продажа'!BF13-'CF_Продажа'!BF20</f>
        <v/>
      </c>
      <c r="BG22" s="47">
        <f>'CF_Продажа'!BG7-'CF_Продажа'!BG8-'CF_Продажа'!BG13-'CF_Продажа'!BG20</f>
        <v/>
      </c>
      <c r="BH22" s="47">
        <f>'CF_Продажа'!BH7-'CF_Продажа'!BH8-'CF_Продажа'!BH13-'CF_Продажа'!BH20</f>
        <v/>
      </c>
      <c r="BI22" s="47">
        <f>'CF_Продажа'!BI7-'CF_Продажа'!BI8-'CF_Продажа'!BI13-'CF_Продажа'!BI20</f>
        <v/>
      </c>
      <c r="BJ22" s="47">
        <f>'CF_Продажа'!BJ7-'CF_Продажа'!BJ8-'CF_Продажа'!BJ13-'CF_Продажа'!BJ20</f>
        <v/>
      </c>
      <c r="BK22" s="47">
        <f>'CF_Продажа'!BK7-'CF_Продажа'!BK8-'CF_Продажа'!BK13-'CF_Продажа'!BK20</f>
        <v/>
      </c>
      <c r="BL22" s="47">
        <f>'CF_Продажа'!BL7-'CF_Продажа'!BL8-'CF_Продажа'!BL13-'CF_Продажа'!BL20</f>
        <v/>
      </c>
      <c r="BM22" s="47">
        <f>'CF_Продажа'!BM7-'CF_Продажа'!BM8-'CF_Продажа'!BM13-'CF_Продажа'!BM20</f>
        <v/>
      </c>
      <c r="BN22" s="47">
        <f>'CF_Продажа'!BN7-'CF_Продажа'!BN8-'CF_Продажа'!BN13-'CF_Продажа'!BN20</f>
        <v/>
      </c>
      <c r="BO22" s="47">
        <f>'CF_Продажа'!BO7-'CF_Продажа'!BO8-'CF_Продажа'!BO13-'CF_Продажа'!BO20</f>
        <v/>
      </c>
      <c r="BP22" s="47">
        <f>'CF_Продажа'!BP7-'CF_Продажа'!BP8-'CF_Продажа'!BP13-'CF_Продажа'!BP20</f>
        <v/>
      </c>
      <c r="BQ22" s="47">
        <f>'CF_Продажа'!BQ7-'CF_Продажа'!BQ8-'CF_Продажа'!BQ13-'CF_Продажа'!BQ20</f>
        <v/>
      </c>
      <c r="BR22" s="47">
        <f>'CF_Продажа'!BR7-'CF_Продажа'!BR8-'CF_Продажа'!BR13-'CF_Продажа'!BR20</f>
        <v/>
      </c>
      <c r="BS22" s="47">
        <f>'CF_Продажа'!BS7-'CF_Продажа'!BS8-'CF_Продажа'!BS13-'CF_Продажа'!BS20</f>
        <v/>
      </c>
      <c r="BT22" s="47">
        <f>'CF_Продажа'!BT7-'CF_Продажа'!BT8-'CF_Продажа'!BT13-'CF_Продажа'!BT20</f>
        <v/>
      </c>
      <c r="BU22" s="47">
        <f>'CF_Продажа'!BU7-'CF_Продажа'!BU8-'CF_Продажа'!BU13-'CF_Продажа'!BU20</f>
        <v/>
      </c>
      <c r="BV22" s="47">
        <f>'CF_Продажа'!BV7-'CF_Продажа'!BV8-'CF_Продажа'!BV13-'CF_Продажа'!BV20</f>
        <v/>
      </c>
      <c r="BW22" s="47">
        <f>'CF_Продажа'!BW7-'CF_Продажа'!BW8-'CF_Продажа'!BW13-'CF_Продажа'!BW20</f>
        <v/>
      </c>
      <c r="BX22" s="47">
        <f>'CF_Продажа'!BX7-'CF_Продажа'!BX8-'CF_Продажа'!BX13-'CF_Продажа'!BX20</f>
        <v/>
      </c>
      <c r="BY22" s="47">
        <f>'CF_Продажа'!BY7-'CF_Продажа'!BY8-'CF_Продажа'!BY13-'CF_Продажа'!BY20</f>
        <v/>
      </c>
      <c r="BZ22" s="47">
        <f>'CF_Продажа'!BZ7-'CF_Продажа'!BZ8-'CF_Продажа'!BZ13-'CF_Продажа'!BZ20</f>
        <v/>
      </c>
      <c r="CA22" s="47">
        <f>'CF_Продажа'!CA7-'CF_Продажа'!CA8-'CF_Продажа'!CA13-'CF_Продажа'!CA20</f>
        <v/>
      </c>
      <c r="CB22" s="47">
        <f>'CF_Продажа'!CB7-'CF_Продажа'!CB8-'CF_Продажа'!CB13-'CF_Продажа'!CB20</f>
        <v/>
      </c>
      <c r="CC22" s="47">
        <f>'CF_Продажа'!CC7-'CF_Продажа'!CC8-'CF_Продажа'!CC13-'CF_Продажа'!CC20</f>
        <v/>
      </c>
      <c r="CD22" s="47">
        <f>'CF_Продажа'!CD7-'CF_Продажа'!CD8-'CF_Продажа'!CD13-'CF_Продажа'!CD20</f>
        <v/>
      </c>
      <c r="CE22" s="47">
        <f>'CF_Продажа'!CE7-'CF_Продажа'!CE8-'CF_Продажа'!CE13-'CF_Продажа'!CE20</f>
        <v/>
      </c>
      <c r="CF22" s="47">
        <f>'CF_Продажа'!CF7-'CF_Продажа'!CF8-'CF_Продажа'!CF13-'CF_Продажа'!CF20</f>
        <v/>
      </c>
      <c r="CG22" s="47">
        <f>'CF_Продажа'!CG7-'CF_Продажа'!CG8-'CF_Продажа'!CG13-'CF_Продажа'!CG20</f>
        <v/>
      </c>
      <c r="CH22" s="47">
        <f>'CF_Продажа'!CH7-'CF_Продажа'!CH8-'CF_Продажа'!CH13-'CF_Продажа'!CH20</f>
        <v/>
      </c>
      <c r="CI22" s="47">
        <f>'CF_Продажа'!CI7-'CF_Продажа'!CI8-'CF_Продажа'!CI13-'CF_Продажа'!CI20</f>
        <v/>
      </c>
      <c r="CJ22" s="47">
        <f>'CF_Продажа'!CJ7-'CF_Продажа'!CJ8-'CF_Продажа'!CJ13-'CF_Продажа'!CJ20</f>
        <v/>
      </c>
      <c r="CK22" s="47">
        <f>'CF_Продажа'!CK7-'CF_Продажа'!CK8-'CF_Продажа'!CK13-'CF_Продажа'!CK20</f>
        <v/>
      </c>
      <c r="CL22" s="47">
        <f>'CF_Продажа'!CL7-'CF_Продажа'!CL8-'CF_Продажа'!CL13-'CF_Продажа'!CL20</f>
        <v/>
      </c>
      <c r="CM22" s="47">
        <f>'CF_Продажа'!CM7-'CF_Продажа'!CM8-'CF_Продажа'!CM13-'CF_Продажа'!CM20</f>
        <v/>
      </c>
      <c r="CN22" s="47">
        <f>'CF_Продажа'!CN7-'CF_Продажа'!CN8-'CF_Продажа'!CN13-'CF_Продажа'!CN20</f>
        <v/>
      </c>
      <c r="CO22" s="47">
        <f>'CF_Продажа'!CO7-'CF_Продажа'!CO8-'CF_Продажа'!CO13-'CF_Продажа'!CO20</f>
        <v/>
      </c>
      <c r="CP22" s="47">
        <f>'CF_Продажа'!CP7-'CF_Продажа'!CP8-'CF_Продажа'!CP13-'CF_Продажа'!CP20</f>
        <v/>
      </c>
      <c r="CQ22" s="47">
        <f>'CF_Продажа'!CQ7-'CF_Продажа'!CQ8-'CF_Продажа'!CQ13-'CF_Продажа'!CQ20</f>
        <v/>
      </c>
      <c r="CR22" s="47">
        <f>'CF_Продажа'!CR7-'CF_Продажа'!CR8-'CF_Продажа'!CR13-'CF_Продажа'!CR20</f>
        <v/>
      </c>
      <c r="CS22" s="47">
        <f>'CF_Продажа'!CS7-'CF_Продажа'!CS8-'CF_Продажа'!CS13-'CF_Продажа'!CS20</f>
        <v/>
      </c>
      <c r="CT22" s="47">
        <f>'CF_Продажа'!CT7-'CF_Продажа'!CT8-'CF_Продажа'!CT13-'CF_Продажа'!CT20</f>
        <v/>
      </c>
      <c r="CU22" s="47">
        <f>'CF_Продажа'!CU7-'CF_Продажа'!CU8-'CF_Продажа'!CU13-'CF_Продажа'!CU20</f>
        <v/>
      </c>
      <c r="CV22" s="47">
        <f>'CF_Продажа'!CV7-'CF_Продажа'!CV8-'CF_Продажа'!CV13-'CF_Продажа'!CV20</f>
        <v/>
      </c>
      <c r="CW22" s="47">
        <f>'CF_Продажа'!CW7-'CF_Продажа'!CW8-'CF_Продажа'!CW13-'CF_Продажа'!CW20</f>
        <v/>
      </c>
      <c r="CX22" s="47">
        <f>'CF_Продажа'!CX7-'CF_Продажа'!CX8-'CF_Продажа'!CX13-'CF_Продажа'!CX20</f>
        <v/>
      </c>
      <c r="CY22" s="47">
        <f>'CF_Продажа'!CY7-'CF_Продажа'!CY8-'CF_Продажа'!CY13-'CF_Продажа'!CY20</f>
        <v/>
      </c>
      <c r="CZ22" s="47">
        <f>'CF_Продажа'!CZ7-'CF_Продажа'!CZ8-'CF_Продажа'!CZ13-'CF_Продажа'!CZ20</f>
        <v/>
      </c>
      <c r="DA22" s="47">
        <f>'CF_Продажа'!DA7-'CF_Продажа'!DA8-'CF_Продажа'!DA13-'CF_Продажа'!DA20</f>
        <v/>
      </c>
      <c r="DB22" s="47">
        <f>'CF_Продажа'!DB7-'CF_Продажа'!DB8-'CF_Продажа'!DB13-'CF_Продажа'!DB20</f>
        <v/>
      </c>
      <c r="DC22" s="47">
        <f>'CF_Продажа'!DC7-'CF_Продажа'!DC8-'CF_Продажа'!DC13-'CF_Продажа'!DC20</f>
        <v/>
      </c>
      <c r="DD22" s="47">
        <f>'CF_Продажа'!DD7-'CF_Продажа'!DD8-'CF_Продажа'!DD13-'CF_Продажа'!DD20</f>
        <v/>
      </c>
      <c r="DE22" s="47">
        <f>'CF_Продажа'!DE7-'CF_Продажа'!DE8-'CF_Продажа'!DE13-'CF_Продажа'!DE20</f>
        <v/>
      </c>
      <c r="DF22" s="47">
        <f>'CF_Продажа'!DF7-'CF_Продажа'!DF8-'CF_Продажа'!DF13-'CF_Продажа'!DF20</f>
        <v/>
      </c>
      <c r="DG22" s="47">
        <f>'CF_Продажа'!DG7-'CF_Продажа'!DG8-'CF_Продажа'!DG13-'CF_Продажа'!DG20</f>
        <v/>
      </c>
      <c r="DH22" s="47">
        <f>'CF_Продажа'!DH7-'CF_Продажа'!DH8-'CF_Продажа'!DH13-'CF_Продажа'!DH20</f>
        <v/>
      </c>
      <c r="DI22" s="47">
        <f>'CF_Продажа'!DI7-'CF_Продажа'!DI8-'CF_Продажа'!DI13-'CF_Продажа'!DI20</f>
        <v/>
      </c>
      <c r="DJ22" s="47">
        <f>'CF_Продажа'!DJ7-'CF_Продажа'!DJ8-'CF_Продажа'!DJ13-'CF_Продажа'!DJ20</f>
        <v/>
      </c>
      <c r="DK22" s="47">
        <f>'CF_Продажа'!DK7-'CF_Продажа'!DK8-'CF_Продажа'!DK13-'CF_Продажа'!DK20</f>
        <v/>
      </c>
      <c r="DL22" s="47">
        <f>'CF_Продажа'!DL7-'CF_Продажа'!DL8-'CF_Продажа'!DL13-'CF_Продажа'!DL20</f>
        <v/>
      </c>
      <c r="DM22" s="47">
        <f>'CF_Продажа'!DM7-'CF_Продажа'!DM8-'CF_Продажа'!DM13-'CF_Продажа'!DM20</f>
        <v/>
      </c>
    </row>
    <row r="23">
      <c r="A23" s="36" t="inlineStr">
        <is>
          <t>Погашение</t>
        </is>
      </c>
      <c r="B23" s="40">
        <f>SUM(D23:DM23)</f>
        <v/>
      </c>
      <c r="C23" s="37" t="inlineStr">
        <is>
          <t>млн ₽</t>
        </is>
      </c>
      <c r="D23" s="47">
        <f>IF('CF_Продажа'!D21&lt;=0,0,IF('СРОКИ'!D10='CF_Продажа'!$B$5,'CF_Продажа'!D21,MIN('CF_Продажа'!D21,MAX(0,'CF_Продажа'!D22))))*'CF_Продажа'!D6</f>
        <v/>
      </c>
      <c r="E23" s="47">
        <f>IF('CF_Продажа'!E21&lt;=0,0,IF('СРОКИ'!E10='CF_Продажа'!$B$5,'CF_Продажа'!E21,MIN('CF_Продажа'!E21,MAX(0,'CF_Продажа'!E22))))*'CF_Продажа'!E6</f>
        <v/>
      </c>
      <c r="F23" s="47">
        <f>IF('CF_Продажа'!F21&lt;=0,0,IF('СРОКИ'!F10='CF_Продажа'!$B$5,'CF_Продажа'!F21,MIN('CF_Продажа'!F21,MAX(0,'CF_Продажа'!F22))))*'CF_Продажа'!F6</f>
        <v/>
      </c>
      <c r="G23" s="47">
        <f>IF('CF_Продажа'!G21&lt;=0,0,IF('СРОКИ'!G10='CF_Продажа'!$B$5,'CF_Продажа'!G21,MIN('CF_Продажа'!G21,MAX(0,'CF_Продажа'!G22))))*'CF_Продажа'!G6</f>
        <v/>
      </c>
      <c r="H23" s="47">
        <f>IF('CF_Продажа'!H21&lt;=0,0,IF('СРОКИ'!H10='CF_Продажа'!$B$5,'CF_Продажа'!H21,MIN('CF_Продажа'!H21,MAX(0,'CF_Продажа'!H22))))*'CF_Продажа'!H6</f>
        <v/>
      </c>
      <c r="I23" s="47">
        <f>IF('CF_Продажа'!I21&lt;=0,0,IF('СРОКИ'!I10='CF_Продажа'!$B$5,'CF_Продажа'!I21,MIN('CF_Продажа'!I21,MAX(0,'CF_Продажа'!I22))))*'CF_Продажа'!I6</f>
        <v/>
      </c>
      <c r="J23" s="47">
        <f>IF('CF_Продажа'!J21&lt;=0,0,IF('СРОКИ'!J10='CF_Продажа'!$B$5,'CF_Продажа'!J21,MIN('CF_Продажа'!J21,MAX(0,'CF_Продажа'!J22))))*'CF_Продажа'!J6</f>
        <v/>
      </c>
      <c r="K23" s="47">
        <f>IF('CF_Продажа'!K21&lt;=0,0,IF('СРОКИ'!K10='CF_Продажа'!$B$5,'CF_Продажа'!K21,MIN('CF_Продажа'!K21,MAX(0,'CF_Продажа'!K22))))*'CF_Продажа'!K6</f>
        <v/>
      </c>
      <c r="L23" s="47">
        <f>IF('CF_Продажа'!L21&lt;=0,0,IF('СРОКИ'!L10='CF_Продажа'!$B$5,'CF_Продажа'!L21,MIN('CF_Продажа'!L21,MAX(0,'CF_Продажа'!L22))))*'CF_Продажа'!L6</f>
        <v/>
      </c>
      <c r="M23" s="47">
        <f>IF('CF_Продажа'!M21&lt;=0,0,IF('СРОКИ'!M10='CF_Продажа'!$B$5,'CF_Продажа'!M21,MIN('CF_Продажа'!M21,MAX(0,'CF_Продажа'!M22))))*'CF_Продажа'!M6</f>
        <v/>
      </c>
      <c r="N23" s="47">
        <f>IF('CF_Продажа'!N21&lt;=0,0,IF('СРОКИ'!N10='CF_Продажа'!$B$5,'CF_Продажа'!N21,MIN('CF_Продажа'!N21,MAX(0,'CF_Продажа'!N22))))*'CF_Продажа'!N6</f>
        <v/>
      </c>
      <c r="O23" s="47">
        <f>IF('CF_Продажа'!O21&lt;=0,0,IF('СРОКИ'!O10='CF_Продажа'!$B$5,'CF_Продажа'!O21,MIN('CF_Продажа'!O21,MAX(0,'CF_Продажа'!O22))))*'CF_Продажа'!O6</f>
        <v/>
      </c>
      <c r="P23" s="47">
        <f>IF('CF_Продажа'!P21&lt;=0,0,IF('СРОКИ'!P10='CF_Продажа'!$B$5,'CF_Продажа'!P21,MIN('CF_Продажа'!P21,MAX(0,'CF_Продажа'!P22))))*'CF_Продажа'!P6</f>
        <v/>
      </c>
      <c r="Q23" s="47">
        <f>IF('CF_Продажа'!Q21&lt;=0,0,IF('СРОКИ'!Q10='CF_Продажа'!$B$5,'CF_Продажа'!Q21,MIN('CF_Продажа'!Q21,MAX(0,'CF_Продажа'!Q22))))*'CF_Продажа'!Q6</f>
        <v/>
      </c>
      <c r="R23" s="47">
        <f>IF('CF_Продажа'!R21&lt;=0,0,IF('СРОКИ'!R10='CF_Продажа'!$B$5,'CF_Продажа'!R21,MIN('CF_Продажа'!R21,MAX(0,'CF_Продажа'!R22))))*'CF_Продажа'!R6</f>
        <v/>
      </c>
      <c r="S23" s="47">
        <f>IF('CF_Продажа'!S21&lt;=0,0,IF('СРОКИ'!S10='CF_Продажа'!$B$5,'CF_Продажа'!S21,MIN('CF_Продажа'!S21,MAX(0,'CF_Продажа'!S22))))*'CF_Продажа'!S6</f>
        <v/>
      </c>
      <c r="T23" s="47">
        <f>IF('CF_Продажа'!T21&lt;=0,0,IF('СРОКИ'!T10='CF_Продажа'!$B$5,'CF_Продажа'!T21,MIN('CF_Продажа'!T21,MAX(0,'CF_Продажа'!T22))))*'CF_Продажа'!T6</f>
        <v/>
      </c>
      <c r="U23" s="47">
        <f>IF('CF_Продажа'!U21&lt;=0,0,IF('СРОКИ'!U10='CF_Продажа'!$B$5,'CF_Продажа'!U21,MIN('CF_Продажа'!U21,MAX(0,'CF_Продажа'!U22))))*'CF_Продажа'!U6</f>
        <v/>
      </c>
      <c r="V23" s="47">
        <f>IF('CF_Продажа'!V21&lt;=0,0,IF('СРОКИ'!V10='CF_Продажа'!$B$5,'CF_Продажа'!V21,MIN('CF_Продажа'!V21,MAX(0,'CF_Продажа'!V22))))*'CF_Продажа'!V6</f>
        <v/>
      </c>
      <c r="W23" s="47">
        <f>IF('CF_Продажа'!W21&lt;=0,0,IF('СРОКИ'!W10='CF_Продажа'!$B$5,'CF_Продажа'!W21,MIN('CF_Продажа'!W21,MAX(0,'CF_Продажа'!W22))))*'CF_Продажа'!W6</f>
        <v/>
      </c>
      <c r="X23" s="47">
        <f>IF('CF_Продажа'!X21&lt;=0,0,IF('СРОКИ'!X10='CF_Продажа'!$B$5,'CF_Продажа'!X21,MIN('CF_Продажа'!X21,MAX(0,'CF_Продажа'!X22))))*'CF_Продажа'!X6</f>
        <v/>
      </c>
      <c r="Y23" s="47">
        <f>IF('CF_Продажа'!Y21&lt;=0,0,IF('СРОКИ'!Y10='CF_Продажа'!$B$5,'CF_Продажа'!Y21,MIN('CF_Продажа'!Y21,MAX(0,'CF_Продажа'!Y22))))*'CF_Продажа'!Y6</f>
        <v/>
      </c>
      <c r="Z23" s="47">
        <f>IF('CF_Продажа'!Z21&lt;=0,0,IF('СРОКИ'!Z10='CF_Продажа'!$B$5,'CF_Продажа'!Z21,MIN('CF_Продажа'!Z21,MAX(0,'CF_Продажа'!Z22))))*'CF_Продажа'!Z6</f>
        <v/>
      </c>
      <c r="AA23" s="47">
        <f>IF('CF_Продажа'!AA21&lt;=0,0,IF('СРОКИ'!AA10='CF_Продажа'!$B$5,'CF_Продажа'!AA21,MIN('CF_Продажа'!AA21,MAX(0,'CF_Продажа'!AA22))))*'CF_Продажа'!AA6</f>
        <v/>
      </c>
      <c r="AB23" s="47">
        <f>IF('CF_Продажа'!AB21&lt;=0,0,IF('СРОКИ'!AB10='CF_Продажа'!$B$5,'CF_Продажа'!AB21,MIN('CF_Продажа'!AB21,MAX(0,'CF_Продажа'!AB22))))*'CF_Продажа'!AB6</f>
        <v/>
      </c>
      <c r="AC23" s="47">
        <f>IF('CF_Продажа'!AC21&lt;=0,0,IF('СРОКИ'!AC10='CF_Продажа'!$B$5,'CF_Продажа'!AC21,MIN('CF_Продажа'!AC21,MAX(0,'CF_Продажа'!AC22))))*'CF_Продажа'!AC6</f>
        <v/>
      </c>
      <c r="AD23" s="47">
        <f>IF('CF_Продажа'!AD21&lt;=0,0,IF('СРОКИ'!AD10='CF_Продажа'!$B$5,'CF_Продажа'!AD21,MIN('CF_Продажа'!AD21,MAX(0,'CF_Продажа'!AD22))))*'CF_Продажа'!AD6</f>
        <v/>
      </c>
      <c r="AE23" s="47">
        <f>IF('CF_Продажа'!AE21&lt;=0,0,IF('СРОКИ'!AE10='CF_Продажа'!$B$5,'CF_Продажа'!AE21,MIN('CF_Продажа'!AE21,MAX(0,'CF_Продажа'!AE22))))*'CF_Продажа'!AE6</f>
        <v/>
      </c>
      <c r="AF23" s="47">
        <f>IF('CF_Продажа'!AF21&lt;=0,0,IF('СРОКИ'!AF10='CF_Продажа'!$B$5,'CF_Продажа'!AF21,MIN('CF_Продажа'!AF21,MAX(0,'CF_Продажа'!AF22))))*'CF_Продажа'!AF6</f>
        <v/>
      </c>
      <c r="AG23" s="47">
        <f>IF('CF_Продажа'!AG21&lt;=0,0,IF('СРОКИ'!AG10='CF_Продажа'!$B$5,'CF_Продажа'!AG21,MIN('CF_Продажа'!AG21,MAX(0,'CF_Продажа'!AG22))))*'CF_Продажа'!AG6</f>
        <v/>
      </c>
      <c r="AH23" s="47">
        <f>IF('CF_Продажа'!AH21&lt;=0,0,IF('СРОКИ'!AH10='CF_Продажа'!$B$5,'CF_Продажа'!AH21,MIN('CF_Продажа'!AH21,MAX(0,'CF_Продажа'!AH22))))*'CF_Продажа'!AH6</f>
        <v/>
      </c>
      <c r="AI23" s="47">
        <f>IF('CF_Продажа'!AI21&lt;=0,0,IF('СРОКИ'!AI10='CF_Продажа'!$B$5,'CF_Продажа'!AI21,MIN('CF_Продажа'!AI21,MAX(0,'CF_Продажа'!AI22))))*'CF_Продажа'!AI6</f>
        <v/>
      </c>
      <c r="AJ23" s="47">
        <f>IF('CF_Продажа'!AJ21&lt;=0,0,IF('СРОКИ'!AJ10='CF_Продажа'!$B$5,'CF_Продажа'!AJ21,MIN('CF_Продажа'!AJ21,MAX(0,'CF_Продажа'!AJ22))))*'CF_Продажа'!AJ6</f>
        <v/>
      </c>
      <c r="AK23" s="47">
        <f>IF('CF_Продажа'!AK21&lt;=0,0,IF('СРОКИ'!AK10='CF_Продажа'!$B$5,'CF_Продажа'!AK21,MIN('CF_Продажа'!AK21,MAX(0,'CF_Продажа'!AK22))))*'CF_Продажа'!AK6</f>
        <v/>
      </c>
      <c r="AL23" s="47">
        <f>IF('CF_Продажа'!AL21&lt;=0,0,IF('СРОКИ'!AL10='CF_Продажа'!$B$5,'CF_Продажа'!AL21,MIN('CF_Продажа'!AL21,MAX(0,'CF_Продажа'!AL22))))*'CF_Продажа'!AL6</f>
        <v/>
      </c>
      <c r="AM23" s="47">
        <f>IF('CF_Продажа'!AM21&lt;=0,0,IF('СРОКИ'!AM10='CF_Продажа'!$B$5,'CF_Продажа'!AM21,MIN('CF_Продажа'!AM21,MAX(0,'CF_Продажа'!AM22))))*'CF_Продажа'!AM6</f>
        <v/>
      </c>
      <c r="AN23" s="47">
        <f>IF('CF_Продажа'!AN21&lt;=0,0,IF('СРОКИ'!AN10='CF_Продажа'!$B$5,'CF_Продажа'!AN21,MIN('CF_Продажа'!AN21,MAX(0,'CF_Продажа'!AN22))))*'CF_Продажа'!AN6</f>
        <v/>
      </c>
      <c r="AO23" s="47">
        <f>IF('CF_Продажа'!AO21&lt;=0,0,IF('СРОКИ'!AO10='CF_Продажа'!$B$5,'CF_Продажа'!AO21,MIN('CF_Продажа'!AO21,MAX(0,'CF_Продажа'!AO22))))*'CF_Продажа'!AO6</f>
        <v/>
      </c>
      <c r="AP23" s="47">
        <f>IF('CF_Продажа'!AP21&lt;=0,0,IF('СРОКИ'!AP10='CF_Продажа'!$B$5,'CF_Продажа'!AP21,MIN('CF_Продажа'!AP21,MAX(0,'CF_Продажа'!AP22))))*'CF_Продажа'!AP6</f>
        <v/>
      </c>
      <c r="AQ23" s="47">
        <f>IF('CF_Продажа'!AQ21&lt;=0,0,IF('СРОКИ'!AQ10='CF_Продажа'!$B$5,'CF_Продажа'!AQ21,MIN('CF_Продажа'!AQ21,MAX(0,'CF_Продажа'!AQ22))))*'CF_Продажа'!AQ6</f>
        <v/>
      </c>
      <c r="AR23" s="47">
        <f>IF('CF_Продажа'!AR21&lt;=0,0,IF('СРОКИ'!AR10='CF_Продажа'!$B$5,'CF_Продажа'!AR21,MIN('CF_Продажа'!AR21,MAX(0,'CF_Продажа'!AR22))))*'CF_Продажа'!AR6</f>
        <v/>
      </c>
      <c r="AS23" s="47">
        <f>IF('CF_Продажа'!AS21&lt;=0,0,IF('СРОКИ'!AS10='CF_Продажа'!$B$5,'CF_Продажа'!AS21,MIN('CF_Продажа'!AS21,MAX(0,'CF_Продажа'!AS22))))*'CF_Продажа'!AS6</f>
        <v/>
      </c>
      <c r="AT23" s="47">
        <f>IF('CF_Продажа'!AT21&lt;=0,0,IF('СРОКИ'!AT10='CF_Продажа'!$B$5,'CF_Продажа'!AT21,MIN('CF_Продажа'!AT21,MAX(0,'CF_Продажа'!AT22))))*'CF_Продажа'!AT6</f>
        <v/>
      </c>
      <c r="AU23" s="47">
        <f>IF('CF_Продажа'!AU21&lt;=0,0,IF('СРОКИ'!AU10='CF_Продажа'!$B$5,'CF_Продажа'!AU21,MIN('CF_Продажа'!AU21,MAX(0,'CF_Продажа'!AU22))))*'CF_Продажа'!AU6</f>
        <v/>
      </c>
      <c r="AV23" s="47">
        <f>IF('CF_Продажа'!AV21&lt;=0,0,IF('СРОКИ'!AV10='CF_Продажа'!$B$5,'CF_Продажа'!AV21,MIN('CF_Продажа'!AV21,MAX(0,'CF_Продажа'!AV22))))*'CF_Продажа'!AV6</f>
        <v/>
      </c>
      <c r="AW23" s="47">
        <f>IF('CF_Продажа'!AW21&lt;=0,0,IF('СРОКИ'!AW10='CF_Продажа'!$B$5,'CF_Продажа'!AW21,MIN('CF_Продажа'!AW21,MAX(0,'CF_Продажа'!AW22))))*'CF_Продажа'!AW6</f>
        <v/>
      </c>
      <c r="AX23" s="47">
        <f>IF('CF_Продажа'!AX21&lt;=0,0,IF('СРОКИ'!AX10='CF_Продажа'!$B$5,'CF_Продажа'!AX21,MIN('CF_Продажа'!AX21,MAX(0,'CF_Продажа'!AX22))))*'CF_Продажа'!AX6</f>
        <v/>
      </c>
      <c r="AY23" s="47">
        <f>IF('CF_Продажа'!AY21&lt;=0,0,IF('СРОКИ'!AY10='CF_Продажа'!$B$5,'CF_Продажа'!AY21,MIN('CF_Продажа'!AY21,MAX(0,'CF_Продажа'!AY22))))*'CF_Продажа'!AY6</f>
        <v/>
      </c>
      <c r="AZ23" s="47">
        <f>IF('CF_Продажа'!AZ21&lt;=0,0,IF('СРОКИ'!AZ10='CF_Продажа'!$B$5,'CF_Продажа'!AZ21,MIN('CF_Продажа'!AZ21,MAX(0,'CF_Продажа'!AZ22))))*'CF_Продажа'!AZ6</f>
        <v/>
      </c>
      <c r="BA23" s="47">
        <f>IF('CF_Продажа'!BA21&lt;=0,0,IF('СРОКИ'!BA10='CF_Продажа'!$B$5,'CF_Продажа'!BA21,MIN('CF_Продажа'!BA21,MAX(0,'CF_Продажа'!BA22))))*'CF_Продажа'!BA6</f>
        <v/>
      </c>
      <c r="BB23" s="47">
        <f>IF('CF_Продажа'!BB21&lt;=0,0,IF('СРОКИ'!BB10='CF_Продажа'!$B$5,'CF_Продажа'!BB21,MIN('CF_Продажа'!BB21,MAX(0,'CF_Продажа'!BB22))))*'CF_Продажа'!BB6</f>
        <v/>
      </c>
      <c r="BC23" s="47">
        <f>IF('CF_Продажа'!BC21&lt;=0,0,IF('СРОКИ'!BC10='CF_Продажа'!$B$5,'CF_Продажа'!BC21,MIN('CF_Продажа'!BC21,MAX(0,'CF_Продажа'!BC22))))*'CF_Продажа'!BC6</f>
        <v/>
      </c>
      <c r="BD23" s="47">
        <f>IF('CF_Продажа'!BD21&lt;=0,0,IF('СРОКИ'!BD10='CF_Продажа'!$B$5,'CF_Продажа'!BD21,MIN('CF_Продажа'!BD21,MAX(0,'CF_Продажа'!BD22))))*'CF_Продажа'!BD6</f>
        <v/>
      </c>
      <c r="BE23" s="47">
        <f>IF('CF_Продажа'!BE21&lt;=0,0,IF('СРОКИ'!BE10='CF_Продажа'!$B$5,'CF_Продажа'!BE21,MIN('CF_Продажа'!BE21,MAX(0,'CF_Продажа'!BE22))))*'CF_Продажа'!BE6</f>
        <v/>
      </c>
      <c r="BF23" s="47">
        <f>IF('CF_Продажа'!BF21&lt;=0,0,IF('СРОКИ'!BF10='CF_Продажа'!$B$5,'CF_Продажа'!BF21,MIN('CF_Продажа'!BF21,MAX(0,'CF_Продажа'!BF22))))*'CF_Продажа'!BF6</f>
        <v/>
      </c>
      <c r="BG23" s="47">
        <f>IF('CF_Продажа'!BG21&lt;=0,0,IF('СРОКИ'!BG10='CF_Продажа'!$B$5,'CF_Продажа'!BG21,MIN('CF_Продажа'!BG21,MAX(0,'CF_Продажа'!BG22))))*'CF_Продажа'!BG6</f>
        <v/>
      </c>
      <c r="BH23" s="47">
        <f>IF('CF_Продажа'!BH21&lt;=0,0,IF('СРОКИ'!BH10='CF_Продажа'!$B$5,'CF_Продажа'!BH21,MIN('CF_Продажа'!BH21,MAX(0,'CF_Продажа'!BH22))))*'CF_Продажа'!BH6</f>
        <v/>
      </c>
      <c r="BI23" s="47">
        <f>IF('CF_Продажа'!BI21&lt;=0,0,IF('СРОКИ'!BI10='CF_Продажа'!$B$5,'CF_Продажа'!BI21,MIN('CF_Продажа'!BI21,MAX(0,'CF_Продажа'!BI22))))*'CF_Продажа'!BI6</f>
        <v/>
      </c>
      <c r="BJ23" s="47">
        <f>IF('CF_Продажа'!BJ21&lt;=0,0,IF('СРОКИ'!BJ10='CF_Продажа'!$B$5,'CF_Продажа'!BJ21,MIN('CF_Продажа'!BJ21,MAX(0,'CF_Продажа'!BJ22))))*'CF_Продажа'!BJ6</f>
        <v/>
      </c>
      <c r="BK23" s="47">
        <f>IF('CF_Продажа'!BK21&lt;=0,0,IF('СРОКИ'!BK10='CF_Продажа'!$B$5,'CF_Продажа'!BK21,MIN('CF_Продажа'!BK21,MAX(0,'CF_Продажа'!BK22))))*'CF_Продажа'!BK6</f>
        <v/>
      </c>
      <c r="BL23" s="47">
        <f>IF('CF_Продажа'!BL21&lt;=0,0,IF('СРОКИ'!BL10='CF_Продажа'!$B$5,'CF_Продажа'!BL21,MIN('CF_Продажа'!BL21,MAX(0,'CF_Продажа'!BL22))))*'CF_Продажа'!BL6</f>
        <v/>
      </c>
      <c r="BM23" s="47">
        <f>IF('CF_Продажа'!BM21&lt;=0,0,IF('СРОКИ'!BM10='CF_Продажа'!$B$5,'CF_Продажа'!BM21,MIN('CF_Продажа'!BM21,MAX(0,'CF_Продажа'!BM22))))*'CF_Продажа'!BM6</f>
        <v/>
      </c>
      <c r="BN23" s="47">
        <f>IF('CF_Продажа'!BN21&lt;=0,0,IF('СРОКИ'!BN10='CF_Продажа'!$B$5,'CF_Продажа'!BN21,MIN('CF_Продажа'!BN21,MAX(0,'CF_Продажа'!BN22))))*'CF_Продажа'!BN6</f>
        <v/>
      </c>
      <c r="BO23" s="47">
        <f>IF('CF_Продажа'!BO21&lt;=0,0,IF('СРОКИ'!BO10='CF_Продажа'!$B$5,'CF_Продажа'!BO21,MIN('CF_Продажа'!BO21,MAX(0,'CF_Продажа'!BO22))))*'CF_Продажа'!BO6</f>
        <v/>
      </c>
      <c r="BP23" s="47">
        <f>IF('CF_Продажа'!BP21&lt;=0,0,IF('СРОКИ'!BP10='CF_Продажа'!$B$5,'CF_Продажа'!BP21,MIN('CF_Продажа'!BP21,MAX(0,'CF_Продажа'!BP22))))*'CF_Продажа'!BP6</f>
        <v/>
      </c>
      <c r="BQ23" s="47">
        <f>IF('CF_Продажа'!BQ21&lt;=0,0,IF('СРОКИ'!BQ10='CF_Продажа'!$B$5,'CF_Продажа'!BQ21,MIN('CF_Продажа'!BQ21,MAX(0,'CF_Продажа'!BQ22))))*'CF_Продажа'!BQ6</f>
        <v/>
      </c>
      <c r="BR23" s="47">
        <f>IF('CF_Продажа'!BR21&lt;=0,0,IF('СРОКИ'!BR10='CF_Продажа'!$B$5,'CF_Продажа'!BR21,MIN('CF_Продажа'!BR21,MAX(0,'CF_Продажа'!BR22))))*'CF_Продажа'!BR6</f>
        <v/>
      </c>
      <c r="BS23" s="47">
        <f>IF('CF_Продажа'!BS21&lt;=0,0,IF('СРОКИ'!BS10='CF_Продажа'!$B$5,'CF_Продажа'!BS21,MIN('CF_Продажа'!BS21,MAX(0,'CF_Продажа'!BS22))))*'CF_Продажа'!BS6</f>
        <v/>
      </c>
      <c r="BT23" s="47">
        <f>IF('CF_Продажа'!BT21&lt;=0,0,IF('СРОКИ'!BT10='CF_Продажа'!$B$5,'CF_Продажа'!BT21,MIN('CF_Продажа'!BT21,MAX(0,'CF_Продажа'!BT22))))*'CF_Продажа'!BT6</f>
        <v/>
      </c>
      <c r="BU23" s="47">
        <f>IF('CF_Продажа'!BU21&lt;=0,0,IF('СРОКИ'!BU10='CF_Продажа'!$B$5,'CF_Продажа'!BU21,MIN('CF_Продажа'!BU21,MAX(0,'CF_Продажа'!BU22))))*'CF_Продажа'!BU6</f>
        <v/>
      </c>
      <c r="BV23" s="47">
        <f>IF('CF_Продажа'!BV21&lt;=0,0,IF('СРОКИ'!BV10='CF_Продажа'!$B$5,'CF_Продажа'!BV21,MIN('CF_Продажа'!BV21,MAX(0,'CF_Продажа'!BV22))))*'CF_Продажа'!BV6</f>
        <v/>
      </c>
      <c r="BW23" s="47">
        <f>IF('CF_Продажа'!BW21&lt;=0,0,IF('СРОКИ'!BW10='CF_Продажа'!$B$5,'CF_Продажа'!BW21,MIN('CF_Продажа'!BW21,MAX(0,'CF_Продажа'!BW22))))*'CF_Продажа'!BW6</f>
        <v/>
      </c>
      <c r="BX23" s="47">
        <f>IF('CF_Продажа'!BX21&lt;=0,0,IF('СРОКИ'!BX10='CF_Продажа'!$B$5,'CF_Продажа'!BX21,MIN('CF_Продажа'!BX21,MAX(0,'CF_Продажа'!BX22))))*'CF_Продажа'!BX6</f>
        <v/>
      </c>
      <c r="BY23" s="47">
        <f>IF('CF_Продажа'!BY21&lt;=0,0,IF('СРОКИ'!BY10='CF_Продажа'!$B$5,'CF_Продажа'!BY21,MIN('CF_Продажа'!BY21,MAX(0,'CF_Продажа'!BY22))))*'CF_Продажа'!BY6</f>
        <v/>
      </c>
      <c r="BZ23" s="47">
        <f>IF('CF_Продажа'!BZ21&lt;=0,0,IF('СРОКИ'!BZ10='CF_Продажа'!$B$5,'CF_Продажа'!BZ21,MIN('CF_Продажа'!BZ21,MAX(0,'CF_Продажа'!BZ22))))*'CF_Продажа'!BZ6</f>
        <v/>
      </c>
      <c r="CA23" s="47">
        <f>IF('CF_Продажа'!CA21&lt;=0,0,IF('СРОКИ'!CA10='CF_Продажа'!$B$5,'CF_Продажа'!CA21,MIN('CF_Продажа'!CA21,MAX(0,'CF_Продажа'!CA22))))*'CF_Продажа'!CA6</f>
        <v/>
      </c>
      <c r="CB23" s="47">
        <f>IF('CF_Продажа'!CB21&lt;=0,0,IF('СРОКИ'!CB10='CF_Продажа'!$B$5,'CF_Продажа'!CB21,MIN('CF_Продажа'!CB21,MAX(0,'CF_Продажа'!CB22))))*'CF_Продажа'!CB6</f>
        <v/>
      </c>
      <c r="CC23" s="47">
        <f>IF('CF_Продажа'!CC21&lt;=0,0,IF('СРОКИ'!CC10='CF_Продажа'!$B$5,'CF_Продажа'!CC21,MIN('CF_Продажа'!CC21,MAX(0,'CF_Продажа'!CC22))))*'CF_Продажа'!CC6</f>
        <v/>
      </c>
      <c r="CD23" s="47">
        <f>IF('CF_Продажа'!CD21&lt;=0,0,IF('СРОКИ'!CD10='CF_Продажа'!$B$5,'CF_Продажа'!CD21,MIN('CF_Продажа'!CD21,MAX(0,'CF_Продажа'!CD22))))*'CF_Продажа'!CD6</f>
        <v/>
      </c>
      <c r="CE23" s="47">
        <f>IF('CF_Продажа'!CE21&lt;=0,0,IF('СРОКИ'!CE10='CF_Продажа'!$B$5,'CF_Продажа'!CE21,MIN('CF_Продажа'!CE21,MAX(0,'CF_Продажа'!CE22))))*'CF_Продажа'!CE6</f>
        <v/>
      </c>
      <c r="CF23" s="47">
        <f>IF('CF_Продажа'!CF21&lt;=0,0,IF('СРОКИ'!CF10='CF_Продажа'!$B$5,'CF_Продажа'!CF21,MIN('CF_Продажа'!CF21,MAX(0,'CF_Продажа'!CF22))))*'CF_Продажа'!CF6</f>
        <v/>
      </c>
      <c r="CG23" s="47">
        <f>IF('CF_Продажа'!CG21&lt;=0,0,IF('СРОКИ'!CG10='CF_Продажа'!$B$5,'CF_Продажа'!CG21,MIN('CF_Продажа'!CG21,MAX(0,'CF_Продажа'!CG22))))*'CF_Продажа'!CG6</f>
        <v/>
      </c>
      <c r="CH23" s="47">
        <f>IF('CF_Продажа'!CH21&lt;=0,0,IF('СРОКИ'!CH10='CF_Продажа'!$B$5,'CF_Продажа'!CH21,MIN('CF_Продажа'!CH21,MAX(0,'CF_Продажа'!CH22))))*'CF_Продажа'!CH6</f>
        <v/>
      </c>
      <c r="CI23" s="47">
        <f>IF('CF_Продажа'!CI21&lt;=0,0,IF('СРОКИ'!CI10='CF_Продажа'!$B$5,'CF_Продажа'!CI21,MIN('CF_Продажа'!CI21,MAX(0,'CF_Продажа'!CI22))))*'CF_Продажа'!CI6</f>
        <v/>
      </c>
      <c r="CJ23" s="47">
        <f>IF('CF_Продажа'!CJ21&lt;=0,0,IF('СРОКИ'!CJ10='CF_Продажа'!$B$5,'CF_Продажа'!CJ21,MIN('CF_Продажа'!CJ21,MAX(0,'CF_Продажа'!CJ22))))*'CF_Продажа'!CJ6</f>
        <v/>
      </c>
      <c r="CK23" s="47">
        <f>IF('CF_Продажа'!CK21&lt;=0,0,IF('СРОКИ'!CK10='CF_Продажа'!$B$5,'CF_Продажа'!CK21,MIN('CF_Продажа'!CK21,MAX(0,'CF_Продажа'!CK22))))*'CF_Продажа'!CK6</f>
        <v/>
      </c>
      <c r="CL23" s="47">
        <f>IF('CF_Продажа'!CL21&lt;=0,0,IF('СРОКИ'!CL10='CF_Продажа'!$B$5,'CF_Продажа'!CL21,MIN('CF_Продажа'!CL21,MAX(0,'CF_Продажа'!CL22))))*'CF_Продажа'!CL6</f>
        <v/>
      </c>
      <c r="CM23" s="47">
        <f>IF('CF_Продажа'!CM21&lt;=0,0,IF('СРОКИ'!CM10='CF_Продажа'!$B$5,'CF_Продажа'!CM21,MIN('CF_Продажа'!CM21,MAX(0,'CF_Продажа'!CM22))))*'CF_Продажа'!CM6</f>
        <v/>
      </c>
      <c r="CN23" s="47">
        <f>IF('CF_Продажа'!CN21&lt;=0,0,IF('СРОКИ'!CN10='CF_Продажа'!$B$5,'CF_Продажа'!CN21,MIN('CF_Продажа'!CN21,MAX(0,'CF_Продажа'!CN22))))*'CF_Продажа'!CN6</f>
        <v/>
      </c>
      <c r="CO23" s="47">
        <f>IF('CF_Продажа'!CO21&lt;=0,0,IF('СРОКИ'!CO10='CF_Продажа'!$B$5,'CF_Продажа'!CO21,MIN('CF_Продажа'!CO21,MAX(0,'CF_Продажа'!CO22))))*'CF_Продажа'!CO6</f>
        <v/>
      </c>
      <c r="CP23" s="47">
        <f>IF('CF_Продажа'!CP21&lt;=0,0,IF('СРОКИ'!CP10='CF_Продажа'!$B$5,'CF_Продажа'!CP21,MIN('CF_Продажа'!CP21,MAX(0,'CF_Продажа'!CP22))))*'CF_Продажа'!CP6</f>
        <v/>
      </c>
      <c r="CQ23" s="47">
        <f>IF('CF_Продажа'!CQ21&lt;=0,0,IF('СРОКИ'!CQ10='CF_Продажа'!$B$5,'CF_Продажа'!CQ21,MIN('CF_Продажа'!CQ21,MAX(0,'CF_Продажа'!CQ22))))*'CF_Продажа'!CQ6</f>
        <v/>
      </c>
      <c r="CR23" s="47">
        <f>IF('CF_Продажа'!CR21&lt;=0,0,IF('СРОКИ'!CR10='CF_Продажа'!$B$5,'CF_Продажа'!CR21,MIN('CF_Продажа'!CR21,MAX(0,'CF_Продажа'!CR22))))*'CF_Продажа'!CR6</f>
        <v/>
      </c>
      <c r="CS23" s="47">
        <f>IF('CF_Продажа'!CS21&lt;=0,0,IF('СРОКИ'!CS10='CF_Продажа'!$B$5,'CF_Продажа'!CS21,MIN('CF_Продажа'!CS21,MAX(0,'CF_Продажа'!CS22))))*'CF_Продажа'!CS6</f>
        <v/>
      </c>
      <c r="CT23" s="47">
        <f>IF('CF_Продажа'!CT21&lt;=0,0,IF('СРОКИ'!CT10='CF_Продажа'!$B$5,'CF_Продажа'!CT21,MIN('CF_Продажа'!CT21,MAX(0,'CF_Продажа'!CT22))))*'CF_Продажа'!CT6</f>
        <v/>
      </c>
      <c r="CU23" s="47">
        <f>IF('CF_Продажа'!CU21&lt;=0,0,IF('СРОКИ'!CU10='CF_Продажа'!$B$5,'CF_Продажа'!CU21,MIN('CF_Продажа'!CU21,MAX(0,'CF_Продажа'!CU22))))*'CF_Продажа'!CU6</f>
        <v/>
      </c>
      <c r="CV23" s="47">
        <f>IF('CF_Продажа'!CV21&lt;=0,0,IF('СРОКИ'!CV10='CF_Продажа'!$B$5,'CF_Продажа'!CV21,MIN('CF_Продажа'!CV21,MAX(0,'CF_Продажа'!CV22))))*'CF_Продажа'!CV6</f>
        <v/>
      </c>
      <c r="CW23" s="47">
        <f>IF('CF_Продажа'!CW21&lt;=0,0,IF('СРОКИ'!CW10='CF_Продажа'!$B$5,'CF_Продажа'!CW21,MIN('CF_Продажа'!CW21,MAX(0,'CF_Продажа'!CW22))))*'CF_Продажа'!CW6</f>
        <v/>
      </c>
      <c r="CX23" s="47">
        <f>IF('CF_Продажа'!CX21&lt;=0,0,IF('СРОКИ'!CX10='CF_Продажа'!$B$5,'CF_Продажа'!CX21,MIN('CF_Продажа'!CX21,MAX(0,'CF_Продажа'!CX22))))*'CF_Продажа'!CX6</f>
        <v/>
      </c>
      <c r="CY23" s="47">
        <f>IF('CF_Продажа'!CY21&lt;=0,0,IF('СРОКИ'!CY10='CF_Продажа'!$B$5,'CF_Продажа'!CY21,MIN('CF_Продажа'!CY21,MAX(0,'CF_Продажа'!CY22))))*'CF_Продажа'!CY6</f>
        <v/>
      </c>
      <c r="CZ23" s="47">
        <f>IF('CF_Продажа'!CZ21&lt;=0,0,IF('СРОКИ'!CZ10='CF_Продажа'!$B$5,'CF_Продажа'!CZ21,MIN('CF_Продажа'!CZ21,MAX(0,'CF_Продажа'!CZ22))))*'CF_Продажа'!CZ6</f>
        <v/>
      </c>
      <c r="DA23" s="47">
        <f>IF('CF_Продажа'!DA21&lt;=0,0,IF('СРОКИ'!DA10='CF_Продажа'!$B$5,'CF_Продажа'!DA21,MIN('CF_Продажа'!DA21,MAX(0,'CF_Продажа'!DA22))))*'CF_Продажа'!DA6</f>
        <v/>
      </c>
      <c r="DB23" s="47">
        <f>IF('CF_Продажа'!DB21&lt;=0,0,IF('СРОКИ'!DB10='CF_Продажа'!$B$5,'CF_Продажа'!DB21,MIN('CF_Продажа'!DB21,MAX(0,'CF_Продажа'!DB22))))*'CF_Продажа'!DB6</f>
        <v/>
      </c>
      <c r="DC23" s="47">
        <f>IF('CF_Продажа'!DC21&lt;=0,0,IF('СРОКИ'!DC10='CF_Продажа'!$B$5,'CF_Продажа'!DC21,MIN('CF_Продажа'!DC21,MAX(0,'CF_Продажа'!DC22))))*'CF_Продажа'!DC6</f>
        <v/>
      </c>
      <c r="DD23" s="47">
        <f>IF('CF_Продажа'!DD21&lt;=0,0,IF('СРОКИ'!DD10='CF_Продажа'!$B$5,'CF_Продажа'!DD21,MIN('CF_Продажа'!DD21,MAX(0,'CF_Продажа'!DD22))))*'CF_Продажа'!DD6</f>
        <v/>
      </c>
      <c r="DE23" s="47">
        <f>IF('CF_Продажа'!DE21&lt;=0,0,IF('СРОКИ'!DE10='CF_Продажа'!$B$5,'CF_Продажа'!DE21,MIN('CF_Продажа'!DE21,MAX(0,'CF_Продажа'!DE22))))*'CF_Продажа'!DE6</f>
        <v/>
      </c>
      <c r="DF23" s="47">
        <f>IF('CF_Продажа'!DF21&lt;=0,0,IF('СРОКИ'!DF10='CF_Продажа'!$B$5,'CF_Продажа'!DF21,MIN('CF_Продажа'!DF21,MAX(0,'CF_Продажа'!DF22))))*'CF_Продажа'!DF6</f>
        <v/>
      </c>
      <c r="DG23" s="47">
        <f>IF('CF_Продажа'!DG21&lt;=0,0,IF('СРОКИ'!DG10='CF_Продажа'!$B$5,'CF_Продажа'!DG21,MIN('CF_Продажа'!DG21,MAX(0,'CF_Продажа'!DG22))))*'CF_Продажа'!DG6</f>
        <v/>
      </c>
      <c r="DH23" s="47">
        <f>IF('CF_Продажа'!DH21&lt;=0,0,IF('СРОКИ'!DH10='CF_Продажа'!$B$5,'CF_Продажа'!DH21,MIN('CF_Продажа'!DH21,MAX(0,'CF_Продажа'!DH22))))*'CF_Продажа'!DH6</f>
        <v/>
      </c>
      <c r="DI23" s="47">
        <f>IF('CF_Продажа'!DI21&lt;=0,0,IF('СРОКИ'!DI10='CF_Продажа'!$B$5,'CF_Продажа'!DI21,MIN('CF_Продажа'!DI21,MAX(0,'CF_Продажа'!DI22))))*'CF_Продажа'!DI6</f>
        <v/>
      </c>
      <c r="DJ23" s="47">
        <f>IF('CF_Продажа'!DJ21&lt;=0,0,IF('СРОКИ'!DJ10='CF_Продажа'!$B$5,'CF_Продажа'!DJ21,MIN('CF_Продажа'!DJ21,MAX(0,'CF_Продажа'!DJ22))))*'CF_Продажа'!DJ6</f>
        <v/>
      </c>
      <c r="DK23" s="47">
        <f>IF('CF_Продажа'!DK21&lt;=0,0,IF('СРОКИ'!DK10='CF_Продажа'!$B$5,'CF_Продажа'!DK21,MIN('CF_Продажа'!DK21,MAX(0,'CF_Продажа'!DK22))))*'CF_Продажа'!DK6</f>
        <v/>
      </c>
      <c r="DL23" s="47">
        <f>IF('CF_Продажа'!DL21&lt;=0,0,IF('СРОКИ'!DL10='CF_Продажа'!$B$5,'CF_Продажа'!DL21,MIN('CF_Продажа'!DL21,MAX(0,'CF_Продажа'!DL22))))*'CF_Продажа'!DL6</f>
        <v/>
      </c>
      <c r="DM23" s="47">
        <f>IF('CF_Продажа'!DM21&lt;=0,0,IF('СРОКИ'!DM10='CF_Продажа'!$B$5,'CF_Продажа'!DM21,MIN('CF_Продажа'!DM21,MAX(0,'CF_Продажа'!DM22))))*'CF_Продажа'!DM6</f>
        <v/>
      </c>
    </row>
    <row r="24">
      <c r="A24" s="42" t="inlineStr">
        <is>
          <t>Долг на конец месяца</t>
        </is>
      </c>
      <c r="B24" s="10" t="n"/>
      <c r="C24" s="37" t="inlineStr">
        <is>
          <t>млн ₽</t>
        </is>
      </c>
      <c r="D24" s="40">
        <f>'CF_Продажа'!D21-'CF_Продажа'!D23</f>
        <v/>
      </c>
      <c r="E24" s="40">
        <f>'CF_Продажа'!E21-'CF_Продажа'!E23</f>
        <v/>
      </c>
      <c r="F24" s="40">
        <f>'CF_Продажа'!F21-'CF_Продажа'!F23</f>
        <v/>
      </c>
      <c r="G24" s="40">
        <f>'CF_Продажа'!G21-'CF_Продажа'!G23</f>
        <v/>
      </c>
      <c r="H24" s="40">
        <f>'CF_Продажа'!H21-'CF_Продажа'!H23</f>
        <v/>
      </c>
      <c r="I24" s="40">
        <f>'CF_Продажа'!I21-'CF_Продажа'!I23</f>
        <v/>
      </c>
      <c r="J24" s="40">
        <f>'CF_Продажа'!J21-'CF_Продажа'!J23</f>
        <v/>
      </c>
      <c r="K24" s="40">
        <f>'CF_Продажа'!K21-'CF_Продажа'!K23</f>
        <v/>
      </c>
      <c r="L24" s="40">
        <f>'CF_Продажа'!L21-'CF_Продажа'!L23</f>
        <v/>
      </c>
      <c r="M24" s="40">
        <f>'CF_Продажа'!M21-'CF_Продажа'!M23</f>
        <v/>
      </c>
      <c r="N24" s="40">
        <f>'CF_Продажа'!N21-'CF_Продажа'!N23</f>
        <v/>
      </c>
      <c r="O24" s="40">
        <f>'CF_Продажа'!O21-'CF_Продажа'!O23</f>
        <v/>
      </c>
      <c r="P24" s="40">
        <f>'CF_Продажа'!P21-'CF_Продажа'!P23</f>
        <v/>
      </c>
      <c r="Q24" s="40">
        <f>'CF_Продажа'!Q21-'CF_Продажа'!Q23</f>
        <v/>
      </c>
      <c r="R24" s="40">
        <f>'CF_Продажа'!R21-'CF_Продажа'!R23</f>
        <v/>
      </c>
      <c r="S24" s="40">
        <f>'CF_Продажа'!S21-'CF_Продажа'!S23</f>
        <v/>
      </c>
      <c r="T24" s="40">
        <f>'CF_Продажа'!T21-'CF_Продажа'!T23</f>
        <v/>
      </c>
      <c r="U24" s="40">
        <f>'CF_Продажа'!U21-'CF_Продажа'!U23</f>
        <v/>
      </c>
      <c r="V24" s="40">
        <f>'CF_Продажа'!V21-'CF_Продажа'!V23</f>
        <v/>
      </c>
      <c r="W24" s="40">
        <f>'CF_Продажа'!W21-'CF_Продажа'!W23</f>
        <v/>
      </c>
      <c r="X24" s="40">
        <f>'CF_Продажа'!X21-'CF_Продажа'!X23</f>
        <v/>
      </c>
      <c r="Y24" s="40">
        <f>'CF_Продажа'!Y21-'CF_Продажа'!Y23</f>
        <v/>
      </c>
      <c r="Z24" s="40">
        <f>'CF_Продажа'!Z21-'CF_Продажа'!Z23</f>
        <v/>
      </c>
      <c r="AA24" s="40">
        <f>'CF_Продажа'!AA21-'CF_Продажа'!AA23</f>
        <v/>
      </c>
      <c r="AB24" s="40">
        <f>'CF_Продажа'!AB21-'CF_Продажа'!AB23</f>
        <v/>
      </c>
      <c r="AC24" s="40">
        <f>'CF_Продажа'!AC21-'CF_Продажа'!AC23</f>
        <v/>
      </c>
      <c r="AD24" s="40">
        <f>'CF_Продажа'!AD21-'CF_Продажа'!AD23</f>
        <v/>
      </c>
      <c r="AE24" s="40">
        <f>'CF_Продажа'!AE21-'CF_Продажа'!AE23</f>
        <v/>
      </c>
      <c r="AF24" s="40">
        <f>'CF_Продажа'!AF21-'CF_Продажа'!AF23</f>
        <v/>
      </c>
      <c r="AG24" s="40">
        <f>'CF_Продажа'!AG21-'CF_Продажа'!AG23</f>
        <v/>
      </c>
      <c r="AH24" s="40">
        <f>'CF_Продажа'!AH21-'CF_Продажа'!AH23</f>
        <v/>
      </c>
      <c r="AI24" s="40">
        <f>'CF_Продажа'!AI21-'CF_Продажа'!AI23</f>
        <v/>
      </c>
      <c r="AJ24" s="40">
        <f>'CF_Продажа'!AJ21-'CF_Продажа'!AJ23</f>
        <v/>
      </c>
      <c r="AK24" s="40">
        <f>'CF_Продажа'!AK21-'CF_Продажа'!AK23</f>
        <v/>
      </c>
      <c r="AL24" s="40">
        <f>'CF_Продажа'!AL21-'CF_Продажа'!AL23</f>
        <v/>
      </c>
      <c r="AM24" s="40">
        <f>'CF_Продажа'!AM21-'CF_Продажа'!AM23</f>
        <v/>
      </c>
      <c r="AN24" s="40">
        <f>'CF_Продажа'!AN21-'CF_Продажа'!AN23</f>
        <v/>
      </c>
      <c r="AO24" s="40">
        <f>'CF_Продажа'!AO21-'CF_Продажа'!AO23</f>
        <v/>
      </c>
      <c r="AP24" s="40">
        <f>'CF_Продажа'!AP21-'CF_Продажа'!AP23</f>
        <v/>
      </c>
      <c r="AQ24" s="40">
        <f>'CF_Продажа'!AQ21-'CF_Продажа'!AQ23</f>
        <v/>
      </c>
      <c r="AR24" s="40">
        <f>'CF_Продажа'!AR21-'CF_Продажа'!AR23</f>
        <v/>
      </c>
      <c r="AS24" s="40">
        <f>'CF_Продажа'!AS21-'CF_Продажа'!AS23</f>
        <v/>
      </c>
      <c r="AT24" s="40">
        <f>'CF_Продажа'!AT21-'CF_Продажа'!AT23</f>
        <v/>
      </c>
      <c r="AU24" s="40">
        <f>'CF_Продажа'!AU21-'CF_Продажа'!AU23</f>
        <v/>
      </c>
      <c r="AV24" s="40">
        <f>'CF_Продажа'!AV21-'CF_Продажа'!AV23</f>
        <v/>
      </c>
      <c r="AW24" s="40">
        <f>'CF_Продажа'!AW21-'CF_Продажа'!AW23</f>
        <v/>
      </c>
      <c r="AX24" s="40">
        <f>'CF_Продажа'!AX21-'CF_Продажа'!AX23</f>
        <v/>
      </c>
      <c r="AY24" s="40">
        <f>'CF_Продажа'!AY21-'CF_Продажа'!AY23</f>
        <v/>
      </c>
      <c r="AZ24" s="40">
        <f>'CF_Продажа'!AZ21-'CF_Продажа'!AZ23</f>
        <v/>
      </c>
      <c r="BA24" s="40">
        <f>'CF_Продажа'!BA21-'CF_Продажа'!BA23</f>
        <v/>
      </c>
      <c r="BB24" s="40">
        <f>'CF_Продажа'!BB21-'CF_Продажа'!BB23</f>
        <v/>
      </c>
      <c r="BC24" s="40">
        <f>'CF_Продажа'!BC21-'CF_Продажа'!BC23</f>
        <v/>
      </c>
      <c r="BD24" s="40">
        <f>'CF_Продажа'!BD21-'CF_Продажа'!BD23</f>
        <v/>
      </c>
      <c r="BE24" s="40">
        <f>'CF_Продажа'!BE21-'CF_Продажа'!BE23</f>
        <v/>
      </c>
      <c r="BF24" s="40">
        <f>'CF_Продажа'!BF21-'CF_Продажа'!BF23</f>
        <v/>
      </c>
      <c r="BG24" s="40">
        <f>'CF_Продажа'!BG21-'CF_Продажа'!BG23</f>
        <v/>
      </c>
      <c r="BH24" s="40">
        <f>'CF_Продажа'!BH21-'CF_Продажа'!BH23</f>
        <v/>
      </c>
      <c r="BI24" s="40">
        <f>'CF_Продажа'!BI21-'CF_Продажа'!BI23</f>
        <v/>
      </c>
      <c r="BJ24" s="40">
        <f>'CF_Продажа'!BJ21-'CF_Продажа'!BJ23</f>
        <v/>
      </c>
      <c r="BK24" s="40">
        <f>'CF_Продажа'!BK21-'CF_Продажа'!BK23</f>
        <v/>
      </c>
      <c r="BL24" s="40">
        <f>'CF_Продажа'!BL21-'CF_Продажа'!BL23</f>
        <v/>
      </c>
      <c r="BM24" s="40">
        <f>'CF_Продажа'!BM21-'CF_Продажа'!BM23</f>
        <v/>
      </c>
      <c r="BN24" s="40">
        <f>'CF_Продажа'!BN21-'CF_Продажа'!BN23</f>
        <v/>
      </c>
      <c r="BO24" s="40">
        <f>'CF_Продажа'!BO21-'CF_Продажа'!BO23</f>
        <v/>
      </c>
      <c r="BP24" s="40">
        <f>'CF_Продажа'!BP21-'CF_Продажа'!BP23</f>
        <v/>
      </c>
      <c r="BQ24" s="40">
        <f>'CF_Продажа'!BQ21-'CF_Продажа'!BQ23</f>
        <v/>
      </c>
      <c r="BR24" s="40">
        <f>'CF_Продажа'!BR21-'CF_Продажа'!BR23</f>
        <v/>
      </c>
      <c r="BS24" s="40">
        <f>'CF_Продажа'!BS21-'CF_Продажа'!BS23</f>
        <v/>
      </c>
      <c r="BT24" s="40">
        <f>'CF_Продажа'!BT21-'CF_Продажа'!BT23</f>
        <v/>
      </c>
      <c r="BU24" s="40">
        <f>'CF_Продажа'!BU21-'CF_Продажа'!BU23</f>
        <v/>
      </c>
      <c r="BV24" s="40">
        <f>'CF_Продажа'!BV21-'CF_Продажа'!BV23</f>
        <v/>
      </c>
      <c r="BW24" s="40">
        <f>'CF_Продажа'!BW21-'CF_Продажа'!BW23</f>
        <v/>
      </c>
      <c r="BX24" s="40">
        <f>'CF_Продажа'!BX21-'CF_Продажа'!BX23</f>
        <v/>
      </c>
      <c r="BY24" s="40">
        <f>'CF_Продажа'!BY21-'CF_Продажа'!BY23</f>
        <v/>
      </c>
      <c r="BZ24" s="40">
        <f>'CF_Продажа'!BZ21-'CF_Продажа'!BZ23</f>
        <v/>
      </c>
      <c r="CA24" s="40">
        <f>'CF_Продажа'!CA21-'CF_Продажа'!CA23</f>
        <v/>
      </c>
      <c r="CB24" s="40">
        <f>'CF_Продажа'!CB21-'CF_Продажа'!CB23</f>
        <v/>
      </c>
      <c r="CC24" s="40">
        <f>'CF_Продажа'!CC21-'CF_Продажа'!CC23</f>
        <v/>
      </c>
      <c r="CD24" s="40">
        <f>'CF_Продажа'!CD21-'CF_Продажа'!CD23</f>
        <v/>
      </c>
      <c r="CE24" s="40">
        <f>'CF_Продажа'!CE21-'CF_Продажа'!CE23</f>
        <v/>
      </c>
      <c r="CF24" s="40">
        <f>'CF_Продажа'!CF21-'CF_Продажа'!CF23</f>
        <v/>
      </c>
      <c r="CG24" s="40">
        <f>'CF_Продажа'!CG21-'CF_Продажа'!CG23</f>
        <v/>
      </c>
      <c r="CH24" s="40">
        <f>'CF_Продажа'!CH21-'CF_Продажа'!CH23</f>
        <v/>
      </c>
      <c r="CI24" s="40">
        <f>'CF_Продажа'!CI21-'CF_Продажа'!CI23</f>
        <v/>
      </c>
      <c r="CJ24" s="40">
        <f>'CF_Продажа'!CJ21-'CF_Продажа'!CJ23</f>
        <v/>
      </c>
      <c r="CK24" s="40">
        <f>'CF_Продажа'!CK21-'CF_Продажа'!CK23</f>
        <v/>
      </c>
      <c r="CL24" s="40">
        <f>'CF_Продажа'!CL21-'CF_Продажа'!CL23</f>
        <v/>
      </c>
      <c r="CM24" s="40">
        <f>'CF_Продажа'!CM21-'CF_Продажа'!CM23</f>
        <v/>
      </c>
      <c r="CN24" s="40">
        <f>'CF_Продажа'!CN21-'CF_Продажа'!CN23</f>
        <v/>
      </c>
      <c r="CO24" s="40">
        <f>'CF_Продажа'!CO21-'CF_Продажа'!CO23</f>
        <v/>
      </c>
      <c r="CP24" s="40">
        <f>'CF_Продажа'!CP21-'CF_Продажа'!CP23</f>
        <v/>
      </c>
      <c r="CQ24" s="40">
        <f>'CF_Продажа'!CQ21-'CF_Продажа'!CQ23</f>
        <v/>
      </c>
      <c r="CR24" s="40">
        <f>'CF_Продажа'!CR21-'CF_Продажа'!CR23</f>
        <v/>
      </c>
      <c r="CS24" s="40">
        <f>'CF_Продажа'!CS21-'CF_Продажа'!CS23</f>
        <v/>
      </c>
      <c r="CT24" s="40">
        <f>'CF_Продажа'!CT21-'CF_Продажа'!CT23</f>
        <v/>
      </c>
      <c r="CU24" s="40">
        <f>'CF_Продажа'!CU21-'CF_Продажа'!CU23</f>
        <v/>
      </c>
      <c r="CV24" s="40">
        <f>'CF_Продажа'!CV21-'CF_Продажа'!CV23</f>
        <v/>
      </c>
      <c r="CW24" s="40">
        <f>'CF_Продажа'!CW21-'CF_Продажа'!CW23</f>
        <v/>
      </c>
      <c r="CX24" s="40">
        <f>'CF_Продажа'!CX21-'CF_Продажа'!CX23</f>
        <v/>
      </c>
      <c r="CY24" s="40">
        <f>'CF_Продажа'!CY21-'CF_Продажа'!CY23</f>
        <v/>
      </c>
      <c r="CZ24" s="40">
        <f>'CF_Продажа'!CZ21-'CF_Продажа'!CZ23</f>
        <v/>
      </c>
      <c r="DA24" s="40">
        <f>'CF_Продажа'!DA21-'CF_Продажа'!DA23</f>
        <v/>
      </c>
      <c r="DB24" s="40">
        <f>'CF_Продажа'!DB21-'CF_Продажа'!DB23</f>
        <v/>
      </c>
      <c r="DC24" s="40">
        <f>'CF_Продажа'!DC21-'CF_Продажа'!DC23</f>
        <v/>
      </c>
      <c r="DD24" s="40">
        <f>'CF_Продажа'!DD21-'CF_Продажа'!DD23</f>
        <v/>
      </c>
      <c r="DE24" s="40">
        <f>'CF_Продажа'!DE21-'CF_Продажа'!DE23</f>
        <v/>
      </c>
      <c r="DF24" s="40">
        <f>'CF_Продажа'!DF21-'CF_Продажа'!DF23</f>
        <v/>
      </c>
      <c r="DG24" s="40">
        <f>'CF_Продажа'!DG21-'CF_Продажа'!DG23</f>
        <v/>
      </c>
      <c r="DH24" s="40">
        <f>'CF_Продажа'!DH21-'CF_Продажа'!DH23</f>
        <v/>
      </c>
      <c r="DI24" s="40">
        <f>'CF_Продажа'!DI21-'CF_Продажа'!DI23</f>
        <v/>
      </c>
      <c r="DJ24" s="40">
        <f>'CF_Продажа'!DJ21-'CF_Продажа'!DJ23</f>
        <v/>
      </c>
      <c r="DK24" s="40">
        <f>'CF_Продажа'!DK21-'CF_Продажа'!DK23</f>
        <v/>
      </c>
      <c r="DL24" s="40">
        <f>'CF_Продажа'!DL21-'CF_Продажа'!DL23</f>
        <v/>
      </c>
      <c r="DM24" s="40">
        <f>'CF_Продажа'!DM21-'CF_Продажа'!DM23</f>
        <v/>
      </c>
    </row>
    <row r="25">
      <c r="A25" s="36" t="inlineStr">
        <is>
          <t>Выдача линии 1 (до разрешения)</t>
        </is>
      </c>
      <c r="B25" s="40">
        <f>SUM(D25:DM25)</f>
        <v/>
      </c>
      <c r="C25" s="37" t="inlineStr">
        <is>
          <t>млн ₽</t>
        </is>
      </c>
      <c r="D25" s="47">
        <f>IF('СРОКИ'!D10&lt;'СРОКИ'!$B$5,'CF_Продажа'!D17,0)</f>
        <v/>
      </c>
      <c r="E25" s="47">
        <f>IF('СРОКИ'!E10&lt;'СРОКИ'!$B$5,'CF_Продажа'!E17,0)</f>
        <v/>
      </c>
      <c r="F25" s="47">
        <f>IF('СРОКИ'!F10&lt;'СРОКИ'!$B$5,'CF_Продажа'!F17,0)</f>
        <v/>
      </c>
      <c r="G25" s="47">
        <f>IF('СРОКИ'!G10&lt;'СРОКИ'!$B$5,'CF_Продажа'!G17,0)</f>
        <v/>
      </c>
      <c r="H25" s="47">
        <f>IF('СРОКИ'!H10&lt;'СРОКИ'!$B$5,'CF_Продажа'!H17,0)</f>
        <v/>
      </c>
      <c r="I25" s="47">
        <f>IF('СРОКИ'!I10&lt;'СРОКИ'!$B$5,'CF_Продажа'!I17,0)</f>
        <v/>
      </c>
      <c r="J25" s="47">
        <f>IF('СРОКИ'!J10&lt;'СРОКИ'!$B$5,'CF_Продажа'!J17,0)</f>
        <v/>
      </c>
      <c r="K25" s="47">
        <f>IF('СРОКИ'!K10&lt;'СРОКИ'!$B$5,'CF_Продажа'!K17,0)</f>
        <v/>
      </c>
      <c r="L25" s="47">
        <f>IF('СРОКИ'!L10&lt;'СРОКИ'!$B$5,'CF_Продажа'!L17,0)</f>
        <v/>
      </c>
      <c r="M25" s="47">
        <f>IF('СРОКИ'!M10&lt;'СРОКИ'!$B$5,'CF_Продажа'!M17,0)</f>
        <v/>
      </c>
      <c r="N25" s="47">
        <f>IF('СРОКИ'!N10&lt;'СРОКИ'!$B$5,'CF_Продажа'!N17,0)</f>
        <v/>
      </c>
      <c r="O25" s="47">
        <f>IF('СРОКИ'!O10&lt;'СРОКИ'!$B$5,'CF_Продажа'!O17,0)</f>
        <v/>
      </c>
      <c r="P25" s="47">
        <f>IF('СРОКИ'!P10&lt;'СРОКИ'!$B$5,'CF_Продажа'!P17,0)</f>
        <v/>
      </c>
      <c r="Q25" s="47">
        <f>IF('СРОКИ'!Q10&lt;'СРОКИ'!$B$5,'CF_Продажа'!Q17,0)</f>
        <v/>
      </c>
      <c r="R25" s="47">
        <f>IF('СРОКИ'!R10&lt;'СРОКИ'!$B$5,'CF_Продажа'!R17,0)</f>
        <v/>
      </c>
      <c r="S25" s="47">
        <f>IF('СРОКИ'!S10&lt;'СРОКИ'!$B$5,'CF_Продажа'!S17,0)</f>
        <v/>
      </c>
      <c r="T25" s="47">
        <f>IF('СРОКИ'!T10&lt;'СРОКИ'!$B$5,'CF_Продажа'!T17,0)</f>
        <v/>
      </c>
      <c r="U25" s="47">
        <f>IF('СРОКИ'!U10&lt;'СРОКИ'!$B$5,'CF_Продажа'!U17,0)</f>
        <v/>
      </c>
      <c r="V25" s="47">
        <f>IF('СРОКИ'!V10&lt;'СРОКИ'!$B$5,'CF_Продажа'!V17,0)</f>
        <v/>
      </c>
      <c r="W25" s="47">
        <f>IF('СРОКИ'!W10&lt;'СРОКИ'!$B$5,'CF_Продажа'!W17,0)</f>
        <v/>
      </c>
      <c r="X25" s="47">
        <f>IF('СРОКИ'!X10&lt;'СРОКИ'!$B$5,'CF_Продажа'!X17,0)</f>
        <v/>
      </c>
      <c r="Y25" s="47">
        <f>IF('СРОКИ'!Y10&lt;'СРОКИ'!$B$5,'CF_Продажа'!Y17,0)</f>
        <v/>
      </c>
      <c r="Z25" s="47">
        <f>IF('СРОКИ'!Z10&lt;'СРОКИ'!$B$5,'CF_Продажа'!Z17,0)</f>
        <v/>
      </c>
      <c r="AA25" s="47">
        <f>IF('СРОКИ'!AA10&lt;'СРОКИ'!$B$5,'CF_Продажа'!AA17,0)</f>
        <v/>
      </c>
      <c r="AB25" s="47">
        <f>IF('СРОКИ'!AB10&lt;'СРОКИ'!$B$5,'CF_Продажа'!AB17,0)</f>
        <v/>
      </c>
      <c r="AC25" s="47">
        <f>IF('СРОКИ'!AC10&lt;'СРОКИ'!$B$5,'CF_Продажа'!AC17,0)</f>
        <v/>
      </c>
      <c r="AD25" s="47">
        <f>IF('СРОКИ'!AD10&lt;'СРОКИ'!$B$5,'CF_Продажа'!AD17,0)</f>
        <v/>
      </c>
      <c r="AE25" s="47">
        <f>IF('СРОКИ'!AE10&lt;'СРОКИ'!$B$5,'CF_Продажа'!AE17,0)</f>
        <v/>
      </c>
      <c r="AF25" s="47">
        <f>IF('СРОКИ'!AF10&lt;'СРОКИ'!$B$5,'CF_Продажа'!AF17,0)</f>
        <v/>
      </c>
      <c r="AG25" s="47">
        <f>IF('СРОКИ'!AG10&lt;'СРОКИ'!$B$5,'CF_Продажа'!AG17,0)</f>
        <v/>
      </c>
      <c r="AH25" s="47">
        <f>IF('СРОКИ'!AH10&lt;'СРОКИ'!$B$5,'CF_Продажа'!AH17,0)</f>
        <v/>
      </c>
      <c r="AI25" s="47">
        <f>IF('СРОКИ'!AI10&lt;'СРОКИ'!$B$5,'CF_Продажа'!AI17,0)</f>
        <v/>
      </c>
      <c r="AJ25" s="47">
        <f>IF('СРОКИ'!AJ10&lt;'СРОКИ'!$B$5,'CF_Продажа'!AJ17,0)</f>
        <v/>
      </c>
      <c r="AK25" s="47">
        <f>IF('СРОКИ'!AK10&lt;'СРОКИ'!$B$5,'CF_Продажа'!AK17,0)</f>
        <v/>
      </c>
      <c r="AL25" s="47">
        <f>IF('СРОКИ'!AL10&lt;'СРОКИ'!$B$5,'CF_Продажа'!AL17,0)</f>
        <v/>
      </c>
      <c r="AM25" s="47">
        <f>IF('СРОКИ'!AM10&lt;'СРОКИ'!$B$5,'CF_Продажа'!AM17,0)</f>
        <v/>
      </c>
      <c r="AN25" s="47">
        <f>IF('СРОКИ'!AN10&lt;'СРОКИ'!$B$5,'CF_Продажа'!AN17,0)</f>
        <v/>
      </c>
      <c r="AO25" s="47">
        <f>IF('СРОКИ'!AO10&lt;'СРОКИ'!$B$5,'CF_Продажа'!AO17,0)</f>
        <v/>
      </c>
      <c r="AP25" s="47">
        <f>IF('СРОКИ'!AP10&lt;'СРОКИ'!$B$5,'CF_Продажа'!AP17,0)</f>
        <v/>
      </c>
      <c r="AQ25" s="47">
        <f>IF('СРОКИ'!AQ10&lt;'СРОКИ'!$B$5,'CF_Продажа'!AQ17,0)</f>
        <v/>
      </c>
      <c r="AR25" s="47">
        <f>IF('СРОКИ'!AR10&lt;'СРОКИ'!$B$5,'CF_Продажа'!AR17,0)</f>
        <v/>
      </c>
      <c r="AS25" s="47">
        <f>IF('СРОКИ'!AS10&lt;'СРОКИ'!$B$5,'CF_Продажа'!AS17,0)</f>
        <v/>
      </c>
      <c r="AT25" s="47">
        <f>IF('СРОКИ'!AT10&lt;'СРОКИ'!$B$5,'CF_Продажа'!AT17,0)</f>
        <v/>
      </c>
      <c r="AU25" s="47">
        <f>IF('СРОКИ'!AU10&lt;'СРОКИ'!$B$5,'CF_Продажа'!AU17,0)</f>
        <v/>
      </c>
      <c r="AV25" s="47">
        <f>IF('СРОКИ'!AV10&lt;'СРОКИ'!$B$5,'CF_Продажа'!AV17,0)</f>
        <v/>
      </c>
      <c r="AW25" s="47">
        <f>IF('СРОКИ'!AW10&lt;'СРОКИ'!$B$5,'CF_Продажа'!AW17,0)</f>
        <v/>
      </c>
      <c r="AX25" s="47">
        <f>IF('СРОКИ'!AX10&lt;'СРОКИ'!$B$5,'CF_Продажа'!AX17,0)</f>
        <v/>
      </c>
      <c r="AY25" s="47">
        <f>IF('СРОКИ'!AY10&lt;'СРОКИ'!$B$5,'CF_Продажа'!AY17,0)</f>
        <v/>
      </c>
      <c r="AZ25" s="47">
        <f>IF('СРОКИ'!AZ10&lt;'СРОКИ'!$B$5,'CF_Продажа'!AZ17,0)</f>
        <v/>
      </c>
      <c r="BA25" s="47">
        <f>IF('СРОКИ'!BA10&lt;'СРОКИ'!$B$5,'CF_Продажа'!BA17,0)</f>
        <v/>
      </c>
      <c r="BB25" s="47">
        <f>IF('СРОКИ'!BB10&lt;'СРОКИ'!$B$5,'CF_Продажа'!BB17,0)</f>
        <v/>
      </c>
      <c r="BC25" s="47">
        <f>IF('СРОКИ'!BC10&lt;'СРОКИ'!$B$5,'CF_Продажа'!BC17,0)</f>
        <v/>
      </c>
      <c r="BD25" s="47">
        <f>IF('СРОКИ'!BD10&lt;'СРОКИ'!$B$5,'CF_Продажа'!BD17,0)</f>
        <v/>
      </c>
      <c r="BE25" s="47">
        <f>IF('СРОКИ'!BE10&lt;'СРОКИ'!$B$5,'CF_Продажа'!BE17,0)</f>
        <v/>
      </c>
      <c r="BF25" s="47">
        <f>IF('СРОКИ'!BF10&lt;'СРОКИ'!$B$5,'CF_Продажа'!BF17,0)</f>
        <v/>
      </c>
      <c r="BG25" s="47">
        <f>IF('СРОКИ'!BG10&lt;'СРОКИ'!$B$5,'CF_Продажа'!BG17,0)</f>
        <v/>
      </c>
      <c r="BH25" s="47">
        <f>IF('СРОКИ'!BH10&lt;'СРОКИ'!$B$5,'CF_Продажа'!BH17,0)</f>
        <v/>
      </c>
      <c r="BI25" s="47">
        <f>IF('СРОКИ'!BI10&lt;'СРОКИ'!$B$5,'CF_Продажа'!BI17,0)</f>
        <v/>
      </c>
      <c r="BJ25" s="47">
        <f>IF('СРОКИ'!BJ10&lt;'СРОКИ'!$B$5,'CF_Продажа'!BJ17,0)</f>
        <v/>
      </c>
      <c r="BK25" s="47">
        <f>IF('СРОКИ'!BK10&lt;'СРОКИ'!$B$5,'CF_Продажа'!BK17,0)</f>
        <v/>
      </c>
      <c r="BL25" s="47">
        <f>IF('СРОКИ'!BL10&lt;'СРОКИ'!$B$5,'CF_Продажа'!BL17,0)</f>
        <v/>
      </c>
      <c r="BM25" s="47">
        <f>IF('СРОКИ'!BM10&lt;'СРОКИ'!$B$5,'CF_Продажа'!BM17,0)</f>
        <v/>
      </c>
      <c r="BN25" s="47">
        <f>IF('СРОКИ'!BN10&lt;'СРОКИ'!$B$5,'CF_Продажа'!BN17,0)</f>
        <v/>
      </c>
      <c r="BO25" s="47">
        <f>IF('СРОКИ'!BO10&lt;'СРОКИ'!$B$5,'CF_Продажа'!BO17,0)</f>
        <v/>
      </c>
      <c r="BP25" s="47">
        <f>IF('СРОКИ'!BP10&lt;'СРОКИ'!$B$5,'CF_Продажа'!BP17,0)</f>
        <v/>
      </c>
      <c r="BQ25" s="47">
        <f>IF('СРОКИ'!BQ10&lt;'СРОКИ'!$B$5,'CF_Продажа'!BQ17,0)</f>
        <v/>
      </c>
      <c r="BR25" s="47">
        <f>IF('СРОКИ'!BR10&lt;'СРОКИ'!$B$5,'CF_Продажа'!BR17,0)</f>
        <v/>
      </c>
      <c r="BS25" s="47">
        <f>IF('СРОКИ'!BS10&lt;'СРОКИ'!$B$5,'CF_Продажа'!BS17,0)</f>
        <v/>
      </c>
      <c r="BT25" s="47">
        <f>IF('СРОКИ'!BT10&lt;'СРОКИ'!$B$5,'CF_Продажа'!BT17,0)</f>
        <v/>
      </c>
      <c r="BU25" s="47">
        <f>IF('СРОКИ'!BU10&lt;'СРОКИ'!$B$5,'CF_Продажа'!BU17,0)</f>
        <v/>
      </c>
      <c r="BV25" s="47">
        <f>IF('СРОКИ'!BV10&lt;'СРОКИ'!$B$5,'CF_Продажа'!BV17,0)</f>
        <v/>
      </c>
      <c r="BW25" s="47">
        <f>IF('СРОКИ'!BW10&lt;'СРОКИ'!$B$5,'CF_Продажа'!BW17,0)</f>
        <v/>
      </c>
      <c r="BX25" s="47">
        <f>IF('СРОКИ'!BX10&lt;'СРОКИ'!$B$5,'CF_Продажа'!BX17,0)</f>
        <v/>
      </c>
      <c r="BY25" s="47">
        <f>IF('СРОКИ'!BY10&lt;'СРОКИ'!$B$5,'CF_Продажа'!BY17,0)</f>
        <v/>
      </c>
      <c r="BZ25" s="47">
        <f>IF('СРОКИ'!BZ10&lt;'СРОКИ'!$B$5,'CF_Продажа'!BZ17,0)</f>
        <v/>
      </c>
      <c r="CA25" s="47">
        <f>IF('СРОКИ'!CA10&lt;'СРОКИ'!$B$5,'CF_Продажа'!CA17,0)</f>
        <v/>
      </c>
      <c r="CB25" s="47">
        <f>IF('СРОКИ'!CB10&lt;'СРОКИ'!$B$5,'CF_Продажа'!CB17,0)</f>
        <v/>
      </c>
      <c r="CC25" s="47">
        <f>IF('СРОКИ'!CC10&lt;'СРОКИ'!$B$5,'CF_Продажа'!CC17,0)</f>
        <v/>
      </c>
      <c r="CD25" s="47">
        <f>IF('СРОКИ'!CD10&lt;'СРОКИ'!$B$5,'CF_Продажа'!CD17,0)</f>
        <v/>
      </c>
      <c r="CE25" s="47">
        <f>IF('СРОКИ'!CE10&lt;'СРОКИ'!$B$5,'CF_Продажа'!CE17,0)</f>
        <v/>
      </c>
      <c r="CF25" s="47">
        <f>IF('СРОКИ'!CF10&lt;'СРОКИ'!$B$5,'CF_Продажа'!CF17,0)</f>
        <v/>
      </c>
      <c r="CG25" s="47">
        <f>IF('СРОКИ'!CG10&lt;'СРОКИ'!$B$5,'CF_Продажа'!CG17,0)</f>
        <v/>
      </c>
      <c r="CH25" s="47">
        <f>IF('СРОКИ'!CH10&lt;'СРОКИ'!$B$5,'CF_Продажа'!CH17,0)</f>
        <v/>
      </c>
      <c r="CI25" s="47">
        <f>IF('СРОКИ'!CI10&lt;'СРОКИ'!$B$5,'CF_Продажа'!CI17,0)</f>
        <v/>
      </c>
      <c r="CJ25" s="47">
        <f>IF('СРОКИ'!CJ10&lt;'СРОКИ'!$B$5,'CF_Продажа'!CJ17,0)</f>
        <v/>
      </c>
      <c r="CK25" s="47">
        <f>IF('СРОКИ'!CK10&lt;'СРОКИ'!$B$5,'CF_Продажа'!CK17,0)</f>
        <v/>
      </c>
      <c r="CL25" s="47">
        <f>IF('СРОКИ'!CL10&lt;'СРОКИ'!$B$5,'CF_Продажа'!CL17,0)</f>
        <v/>
      </c>
      <c r="CM25" s="47">
        <f>IF('СРОКИ'!CM10&lt;'СРОКИ'!$B$5,'CF_Продажа'!CM17,0)</f>
        <v/>
      </c>
      <c r="CN25" s="47">
        <f>IF('СРОКИ'!CN10&lt;'СРОКИ'!$B$5,'CF_Продажа'!CN17,0)</f>
        <v/>
      </c>
      <c r="CO25" s="47">
        <f>IF('СРОКИ'!CO10&lt;'СРОКИ'!$B$5,'CF_Продажа'!CO17,0)</f>
        <v/>
      </c>
      <c r="CP25" s="47">
        <f>IF('СРОКИ'!CP10&lt;'СРОКИ'!$B$5,'CF_Продажа'!CP17,0)</f>
        <v/>
      </c>
      <c r="CQ25" s="47">
        <f>IF('СРОКИ'!CQ10&lt;'СРОКИ'!$B$5,'CF_Продажа'!CQ17,0)</f>
        <v/>
      </c>
      <c r="CR25" s="47">
        <f>IF('СРОКИ'!CR10&lt;'СРОКИ'!$B$5,'CF_Продажа'!CR17,0)</f>
        <v/>
      </c>
      <c r="CS25" s="47">
        <f>IF('СРОКИ'!CS10&lt;'СРОКИ'!$B$5,'CF_Продажа'!CS17,0)</f>
        <v/>
      </c>
      <c r="CT25" s="47">
        <f>IF('СРОКИ'!CT10&lt;'СРОКИ'!$B$5,'CF_Продажа'!CT17,0)</f>
        <v/>
      </c>
      <c r="CU25" s="47">
        <f>IF('СРОКИ'!CU10&lt;'СРОКИ'!$B$5,'CF_Продажа'!CU17,0)</f>
        <v/>
      </c>
      <c r="CV25" s="47">
        <f>IF('СРОКИ'!CV10&lt;'СРОКИ'!$B$5,'CF_Продажа'!CV17,0)</f>
        <v/>
      </c>
      <c r="CW25" s="47">
        <f>IF('СРОКИ'!CW10&lt;'СРОКИ'!$B$5,'CF_Продажа'!CW17,0)</f>
        <v/>
      </c>
      <c r="CX25" s="47">
        <f>IF('СРОКИ'!CX10&lt;'СРОКИ'!$B$5,'CF_Продажа'!CX17,0)</f>
        <v/>
      </c>
      <c r="CY25" s="47">
        <f>IF('СРОКИ'!CY10&lt;'СРОКИ'!$B$5,'CF_Продажа'!CY17,0)</f>
        <v/>
      </c>
      <c r="CZ25" s="47">
        <f>IF('СРОКИ'!CZ10&lt;'СРОКИ'!$B$5,'CF_Продажа'!CZ17,0)</f>
        <v/>
      </c>
      <c r="DA25" s="47">
        <f>IF('СРОКИ'!DA10&lt;'СРОКИ'!$B$5,'CF_Продажа'!DA17,0)</f>
        <v/>
      </c>
      <c r="DB25" s="47">
        <f>IF('СРОКИ'!DB10&lt;'СРОКИ'!$B$5,'CF_Продажа'!DB17,0)</f>
        <v/>
      </c>
      <c r="DC25" s="47">
        <f>IF('СРОКИ'!DC10&lt;'СРОКИ'!$B$5,'CF_Продажа'!DC17,0)</f>
        <v/>
      </c>
      <c r="DD25" s="47">
        <f>IF('СРОКИ'!DD10&lt;'СРОКИ'!$B$5,'CF_Продажа'!DD17,0)</f>
        <v/>
      </c>
      <c r="DE25" s="47">
        <f>IF('СРОКИ'!DE10&lt;'СРОКИ'!$B$5,'CF_Продажа'!DE17,0)</f>
        <v/>
      </c>
      <c r="DF25" s="47">
        <f>IF('СРОКИ'!DF10&lt;'СРОКИ'!$B$5,'CF_Продажа'!DF17,0)</f>
        <v/>
      </c>
      <c r="DG25" s="47">
        <f>IF('СРОКИ'!DG10&lt;'СРОКИ'!$B$5,'CF_Продажа'!DG17,0)</f>
        <v/>
      </c>
      <c r="DH25" s="47">
        <f>IF('СРОКИ'!DH10&lt;'СРОКИ'!$B$5,'CF_Продажа'!DH17,0)</f>
        <v/>
      </c>
      <c r="DI25" s="47">
        <f>IF('СРОКИ'!DI10&lt;'СРОКИ'!$B$5,'CF_Продажа'!DI17,0)</f>
        <v/>
      </c>
      <c r="DJ25" s="47">
        <f>IF('СРОКИ'!DJ10&lt;'СРОКИ'!$B$5,'CF_Продажа'!DJ17,0)</f>
        <v/>
      </c>
      <c r="DK25" s="47">
        <f>IF('СРОКИ'!DK10&lt;'СРОКИ'!$B$5,'CF_Продажа'!DK17,0)</f>
        <v/>
      </c>
      <c r="DL25" s="47">
        <f>IF('СРОКИ'!DL10&lt;'СРОКИ'!$B$5,'CF_Продажа'!DL17,0)</f>
        <v/>
      </c>
      <c r="DM25" s="47">
        <f>IF('СРОКИ'!DM10&lt;'СРОКИ'!$B$5,'CF_Продажа'!DM17,0)</f>
        <v/>
      </c>
    </row>
    <row r="26">
      <c r="A26" s="36" t="inlineStr">
        <is>
          <t>Выдача линии 2 (стройка)</t>
        </is>
      </c>
      <c r="B26" s="40">
        <f>SUM(D26:DM26)</f>
        <v/>
      </c>
      <c r="C26" s="37" t="inlineStr">
        <is>
          <t>млн ₽</t>
        </is>
      </c>
      <c r="D26" s="47">
        <f>IF('СРОКИ'!D10&gt;='СРОКИ'!$B$5,'CF_Продажа'!D17,0)</f>
        <v/>
      </c>
      <c r="E26" s="47">
        <f>IF('СРОКИ'!E10&gt;='СРОКИ'!$B$5,'CF_Продажа'!E17,0)</f>
        <v/>
      </c>
      <c r="F26" s="47">
        <f>IF('СРОКИ'!F10&gt;='СРОКИ'!$B$5,'CF_Продажа'!F17,0)</f>
        <v/>
      </c>
      <c r="G26" s="47">
        <f>IF('СРОКИ'!G10&gt;='СРОКИ'!$B$5,'CF_Продажа'!G17,0)</f>
        <v/>
      </c>
      <c r="H26" s="47">
        <f>IF('СРОКИ'!H10&gt;='СРОКИ'!$B$5,'CF_Продажа'!H17,0)</f>
        <v/>
      </c>
      <c r="I26" s="47">
        <f>IF('СРОКИ'!I10&gt;='СРОКИ'!$B$5,'CF_Продажа'!I17,0)</f>
        <v/>
      </c>
      <c r="J26" s="47">
        <f>IF('СРОКИ'!J10&gt;='СРОКИ'!$B$5,'CF_Продажа'!J17,0)</f>
        <v/>
      </c>
      <c r="K26" s="47">
        <f>IF('СРОКИ'!K10&gt;='СРОКИ'!$B$5,'CF_Продажа'!K17,0)</f>
        <v/>
      </c>
      <c r="L26" s="47">
        <f>IF('СРОКИ'!L10&gt;='СРОКИ'!$B$5,'CF_Продажа'!L17,0)</f>
        <v/>
      </c>
      <c r="M26" s="47">
        <f>IF('СРОКИ'!M10&gt;='СРОКИ'!$B$5,'CF_Продажа'!M17,0)</f>
        <v/>
      </c>
      <c r="N26" s="47">
        <f>IF('СРОКИ'!N10&gt;='СРОКИ'!$B$5,'CF_Продажа'!N17,0)</f>
        <v/>
      </c>
      <c r="O26" s="47">
        <f>IF('СРОКИ'!O10&gt;='СРОКИ'!$B$5,'CF_Продажа'!O17,0)</f>
        <v/>
      </c>
      <c r="P26" s="47">
        <f>IF('СРОКИ'!P10&gt;='СРОКИ'!$B$5,'CF_Продажа'!P17,0)</f>
        <v/>
      </c>
      <c r="Q26" s="47">
        <f>IF('СРОКИ'!Q10&gt;='СРОКИ'!$B$5,'CF_Продажа'!Q17,0)</f>
        <v/>
      </c>
      <c r="R26" s="47">
        <f>IF('СРОКИ'!R10&gt;='СРОКИ'!$B$5,'CF_Продажа'!R17,0)</f>
        <v/>
      </c>
      <c r="S26" s="47">
        <f>IF('СРОКИ'!S10&gt;='СРОКИ'!$B$5,'CF_Продажа'!S17,0)</f>
        <v/>
      </c>
      <c r="T26" s="47">
        <f>IF('СРОКИ'!T10&gt;='СРОКИ'!$B$5,'CF_Продажа'!T17,0)</f>
        <v/>
      </c>
      <c r="U26" s="47">
        <f>IF('СРОКИ'!U10&gt;='СРОКИ'!$B$5,'CF_Продажа'!U17,0)</f>
        <v/>
      </c>
      <c r="V26" s="47">
        <f>IF('СРОКИ'!V10&gt;='СРОКИ'!$B$5,'CF_Продажа'!V17,0)</f>
        <v/>
      </c>
      <c r="W26" s="47">
        <f>IF('СРОКИ'!W10&gt;='СРОКИ'!$B$5,'CF_Продажа'!W17,0)</f>
        <v/>
      </c>
      <c r="X26" s="47">
        <f>IF('СРОКИ'!X10&gt;='СРОКИ'!$B$5,'CF_Продажа'!X17,0)</f>
        <v/>
      </c>
      <c r="Y26" s="47">
        <f>IF('СРОКИ'!Y10&gt;='СРОКИ'!$B$5,'CF_Продажа'!Y17,0)</f>
        <v/>
      </c>
      <c r="Z26" s="47">
        <f>IF('СРОКИ'!Z10&gt;='СРОКИ'!$B$5,'CF_Продажа'!Z17,0)</f>
        <v/>
      </c>
      <c r="AA26" s="47">
        <f>IF('СРОКИ'!AA10&gt;='СРОКИ'!$B$5,'CF_Продажа'!AA17,0)</f>
        <v/>
      </c>
      <c r="AB26" s="47">
        <f>IF('СРОКИ'!AB10&gt;='СРОКИ'!$B$5,'CF_Продажа'!AB17,0)</f>
        <v/>
      </c>
      <c r="AC26" s="47">
        <f>IF('СРОКИ'!AC10&gt;='СРОКИ'!$B$5,'CF_Продажа'!AC17,0)</f>
        <v/>
      </c>
      <c r="AD26" s="47">
        <f>IF('СРОКИ'!AD10&gt;='СРОКИ'!$B$5,'CF_Продажа'!AD17,0)</f>
        <v/>
      </c>
      <c r="AE26" s="47">
        <f>IF('СРОКИ'!AE10&gt;='СРОКИ'!$B$5,'CF_Продажа'!AE17,0)</f>
        <v/>
      </c>
      <c r="AF26" s="47">
        <f>IF('СРОКИ'!AF10&gt;='СРОКИ'!$B$5,'CF_Продажа'!AF17,0)</f>
        <v/>
      </c>
      <c r="AG26" s="47">
        <f>IF('СРОКИ'!AG10&gt;='СРОКИ'!$B$5,'CF_Продажа'!AG17,0)</f>
        <v/>
      </c>
      <c r="AH26" s="47">
        <f>IF('СРОКИ'!AH10&gt;='СРОКИ'!$B$5,'CF_Продажа'!AH17,0)</f>
        <v/>
      </c>
      <c r="AI26" s="47">
        <f>IF('СРОКИ'!AI10&gt;='СРОКИ'!$B$5,'CF_Продажа'!AI17,0)</f>
        <v/>
      </c>
      <c r="AJ26" s="47">
        <f>IF('СРОКИ'!AJ10&gt;='СРОКИ'!$B$5,'CF_Продажа'!AJ17,0)</f>
        <v/>
      </c>
      <c r="AK26" s="47">
        <f>IF('СРОКИ'!AK10&gt;='СРОКИ'!$B$5,'CF_Продажа'!AK17,0)</f>
        <v/>
      </c>
      <c r="AL26" s="47">
        <f>IF('СРОКИ'!AL10&gt;='СРОКИ'!$B$5,'CF_Продажа'!AL17,0)</f>
        <v/>
      </c>
      <c r="AM26" s="47">
        <f>IF('СРОКИ'!AM10&gt;='СРОКИ'!$B$5,'CF_Продажа'!AM17,0)</f>
        <v/>
      </c>
      <c r="AN26" s="47">
        <f>IF('СРОКИ'!AN10&gt;='СРОКИ'!$B$5,'CF_Продажа'!AN17,0)</f>
        <v/>
      </c>
      <c r="AO26" s="47">
        <f>IF('СРОКИ'!AO10&gt;='СРОКИ'!$B$5,'CF_Продажа'!AO17,0)</f>
        <v/>
      </c>
      <c r="AP26" s="47">
        <f>IF('СРОКИ'!AP10&gt;='СРОКИ'!$B$5,'CF_Продажа'!AP17,0)</f>
        <v/>
      </c>
      <c r="AQ26" s="47">
        <f>IF('СРОКИ'!AQ10&gt;='СРОКИ'!$B$5,'CF_Продажа'!AQ17,0)</f>
        <v/>
      </c>
      <c r="AR26" s="47">
        <f>IF('СРОКИ'!AR10&gt;='СРОКИ'!$B$5,'CF_Продажа'!AR17,0)</f>
        <v/>
      </c>
      <c r="AS26" s="47">
        <f>IF('СРОКИ'!AS10&gt;='СРОКИ'!$B$5,'CF_Продажа'!AS17,0)</f>
        <v/>
      </c>
      <c r="AT26" s="47">
        <f>IF('СРОКИ'!AT10&gt;='СРОКИ'!$B$5,'CF_Продажа'!AT17,0)</f>
        <v/>
      </c>
      <c r="AU26" s="47">
        <f>IF('СРОКИ'!AU10&gt;='СРОКИ'!$B$5,'CF_Продажа'!AU17,0)</f>
        <v/>
      </c>
      <c r="AV26" s="47">
        <f>IF('СРОКИ'!AV10&gt;='СРОКИ'!$B$5,'CF_Продажа'!AV17,0)</f>
        <v/>
      </c>
      <c r="AW26" s="47">
        <f>IF('СРОКИ'!AW10&gt;='СРОКИ'!$B$5,'CF_Продажа'!AW17,0)</f>
        <v/>
      </c>
      <c r="AX26" s="47">
        <f>IF('СРОКИ'!AX10&gt;='СРОКИ'!$B$5,'CF_Продажа'!AX17,0)</f>
        <v/>
      </c>
      <c r="AY26" s="47">
        <f>IF('СРОКИ'!AY10&gt;='СРОКИ'!$B$5,'CF_Продажа'!AY17,0)</f>
        <v/>
      </c>
      <c r="AZ26" s="47">
        <f>IF('СРОКИ'!AZ10&gt;='СРОКИ'!$B$5,'CF_Продажа'!AZ17,0)</f>
        <v/>
      </c>
      <c r="BA26" s="47">
        <f>IF('СРОКИ'!BA10&gt;='СРОКИ'!$B$5,'CF_Продажа'!BA17,0)</f>
        <v/>
      </c>
      <c r="BB26" s="47">
        <f>IF('СРОКИ'!BB10&gt;='СРОКИ'!$B$5,'CF_Продажа'!BB17,0)</f>
        <v/>
      </c>
      <c r="BC26" s="47">
        <f>IF('СРОКИ'!BC10&gt;='СРОКИ'!$B$5,'CF_Продажа'!BC17,0)</f>
        <v/>
      </c>
      <c r="BD26" s="47">
        <f>IF('СРОКИ'!BD10&gt;='СРОКИ'!$B$5,'CF_Продажа'!BD17,0)</f>
        <v/>
      </c>
      <c r="BE26" s="47">
        <f>IF('СРОКИ'!BE10&gt;='СРОКИ'!$B$5,'CF_Продажа'!BE17,0)</f>
        <v/>
      </c>
      <c r="BF26" s="47">
        <f>IF('СРОКИ'!BF10&gt;='СРОКИ'!$B$5,'CF_Продажа'!BF17,0)</f>
        <v/>
      </c>
      <c r="BG26" s="47">
        <f>IF('СРОКИ'!BG10&gt;='СРОКИ'!$B$5,'CF_Продажа'!BG17,0)</f>
        <v/>
      </c>
      <c r="BH26" s="47">
        <f>IF('СРОКИ'!BH10&gt;='СРОКИ'!$B$5,'CF_Продажа'!BH17,0)</f>
        <v/>
      </c>
      <c r="BI26" s="47">
        <f>IF('СРОКИ'!BI10&gt;='СРОКИ'!$B$5,'CF_Продажа'!BI17,0)</f>
        <v/>
      </c>
      <c r="BJ26" s="47">
        <f>IF('СРОКИ'!BJ10&gt;='СРОКИ'!$B$5,'CF_Продажа'!BJ17,0)</f>
        <v/>
      </c>
      <c r="BK26" s="47">
        <f>IF('СРОКИ'!BK10&gt;='СРОКИ'!$B$5,'CF_Продажа'!BK17,0)</f>
        <v/>
      </c>
      <c r="BL26" s="47">
        <f>IF('СРОКИ'!BL10&gt;='СРОКИ'!$B$5,'CF_Продажа'!BL17,0)</f>
        <v/>
      </c>
      <c r="BM26" s="47">
        <f>IF('СРОКИ'!BM10&gt;='СРОКИ'!$B$5,'CF_Продажа'!BM17,0)</f>
        <v/>
      </c>
      <c r="BN26" s="47">
        <f>IF('СРОКИ'!BN10&gt;='СРОКИ'!$B$5,'CF_Продажа'!BN17,0)</f>
        <v/>
      </c>
      <c r="BO26" s="47">
        <f>IF('СРОКИ'!BO10&gt;='СРОКИ'!$B$5,'CF_Продажа'!BO17,0)</f>
        <v/>
      </c>
      <c r="BP26" s="47">
        <f>IF('СРОКИ'!BP10&gt;='СРОКИ'!$B$5,'CF_Продажа'!BP17,0)</f>
        <v/>
      </c>
      <c r="BQ26" s="47">
        <f>IF('СРОКИ'!BQ10&gt;='СРОКИ'!$B$5,'CF_Продажа'!BQ17,0)</f>
        <v/>
      </c>
      <c r="BR26" s="47">
        <f>IF('СРОКИ'!BR10&gt;='СРОКИ'!$B$5,'CF_Продажа'!BR17,0)</f>
        <v/>
      </c>
      <c r="BS26" s="47">
        <f>IF('СРОКИ'!BS10&gt;='СРОКИ'!$B$5,'CF_Продажа'!BS17,0)</f>
        <v/>
      </c>
      <c r="BT26" s="47">
        <f>IF('СРОКИ'!BT10&gt;='СРОКИ'!$B$5,'CF_Продажа'!BT17,0)</f>
        <v/>
      </c>
      <c r="BU26" s="47">
        <f>IF('СРОКИ'!BU10&gt;='СРОКИ'!$B$5,'CF_Продажа'!BU17,0)</f>
        <v/>
      </c>
      <c r="BV26" s="47">
        <f>IF('СРОКИ'!BV10&gt;='СРОКИ'!$B$5,'CF_Продажа'!BV17,0)</f>
        <v/>
      </c>
      <c r="BW26" s="47">
        <f>IF('СРОКИ'!BW10&gt;='СРОКИ'!$B$5,'CF_Продажа'!BW17,0)</f>
        <v/>
      </c>
      <c r="BX26" s="47">
        <f>IF('СРОКИ'!BX10&gt;='СРОКИ'!$B$5,'CF_Продажа'!BX17,0)</f>
        <v/>
      </c>
      <c r="BY26" s="47">
        <f>IF('СРОКИ'!BY10&gt;='СРОКИ'!$B$5,'CF_Продажа'!BY17,0)</f>
        <v/>
      </c>
      <c r="BZ26" s="47">
        <f>IF('СРОКИ'!BZ10&gt;='СРОКИ'!$B$5,'CF_Продажа'!BZ17,0)</f>
        <v/>
      </c>
      <c r="CA26" s="47">
        <f>IF('СРОКИ'!CA10&gt;='СРОКИ'!$B$5,'CF_Продажа'!CA17,0)</f>
        <v/>
      </c>
      <c r="CB26" s="47">
        <f>IF('СРОКИ'!CB10&gt;='СРОКИ'!$B$5,'CF_Продажа'!CB17,0)</f>
        <v/>
      </c>
      <c r="CC26" s="47">
        <f>IF('СРОКИ'!CC10&gt;='СРОКИ'!$B$5,'CF_Продажа'!CC17,0)</f>
        <v/>
      </c>
      <c r="CD26" s="47">
        <f>IF('СРОКИ'!CD10&gt;='СРОКИ'!$B$5,'CF_Продажа'!CD17,0)</f>
        <v/>
      </c>
      <c r="CE26" s="47">
        <f>IF('СРОКИ'!CE10&gt;='СРОКИ'!$B$5,'CF_Продажа'!CE17,0)</f>
        <v/>
      </c>
      <c r="CF26" s="47">
        <f>IF('СРОКИ'!CF10&gt;='СРОКИ'!$B$5,'CF_Продажа'!CF17,0)</f>
        <v/>
      </c>
      <c r="CG26" s="47">
        <f>IF('СРОКИ'!CG10&gt;='СРОКИ'!$B$5,'CF_Продажа'!CG17,0)</f>
        <v/>
      </c>
      <c r="CH26" s="47">
        <f>IF('СРОКИ'!CH10&gt;='СРОКИ'!$B$5,'CF_Продажа'!CH17,0)</f>
        <v/>
      </c>
      <c r="CI26" s="47">
        <f>IF('СРОКИ'!CI10&gt;='СРОКИ'!$B$5,'CF_Продажа'!CI17,0)</f>
        <v/>
      </c>
      <c r="CJ26" s="47">
        <f>IF('СРОКИ'!CJ10&gt;='СРОКИ'!$B$5,'CF_Продажа'!CJ17,0)</f>
        <v/>
      </c>
      <c r="CK26" s="47">
        <f>IF('СРОКИ'!CK10&gt;='СРОКИ'!$B$5,'CF_Продажа'!CK17,0)</f>
        <v/>
      </c>
      <c r="CL26" s="47">
        <f>IF('СРОКИ'!CL10&gt;='СРОКИ'!$B$5,'CF_Продажа'!CL17,0)</f>
        <v/>
      </c>
      <c r="CM26" s="47">
        <f>IF('СРОКИ'!CM10&gt;='СРОКИ'!$B$5,'CF_Продажа'!CM17,0)</f>
        <v/>
      </c>
      <c r="CN26" s="47">
        <f>IF('СРОКИ'!CN10&gt;='СРОКИ'!$B$5,'CF_Продажа'!CN17,0)</f>
        <v/>
      </c>
      <c r="CO26" s="47">
        <f>IF('СРОКИ'!CO10&gt;='СРОКИ'!$B$5,'CF_Продажа'!CO17,0)</f>
        <v/>
      </c>
      <c r="CP26" s="47">
        <f>IF('СРОКИ'!CP10&gt;='СРОКИ'!$B$5,'CF_Продажа'!CP17,0)</f>
        <v/>
      </c>
      <c r="CQ26" s="47">
        <f>IF('СРОКИ'!CQ10&gt;='СРОКИ'!$B$5,'CF_Продажа'!CQ17,0)</f>
        <v/>
      </c>
      <c r="CR26" s="47">
        <f>IF('СРОКИ'!CR10&gt;='СРОКИ'!$B$5,'CF_Продажа'!CR17,0)</f>
        <v/>
      </c>
      <c r="CS26" s="47">
        <f>IF('СРОКИ'!CS10&gt;='СРОКИ'!$B$5,'CF_Продажа'!CS17,0)</f>
        <v/>
      </c>
      <c r="CT26" s="47">
        <f>IF('СРОКИ'!CT10&gt;='СРОКИ'!$B$5,'CF_Продажа'!CT17,0)</f>
        <v/>
      </c>
      <c r="CU26" s="47">
        <f>IF('СРОКИ'!CU10&gt;='СРОКИ'!$B$5,'CF_Продажа'!CU17,0)</f>
        <v/>
      </c>
      <c r="CV26" s="47">
        <f>IF('СРОКИ'!CV10&gt;='СРОКИ'!$B$5,'CF_Продажа'!CV17,0)</f>
        <v/>
      </c>
      <c r="CW26" s="47">
        <f>IF('СРОКИ'!CW10&gt;='СРОКИ'!$B$5,'CF_Продажа'!CW17,0)</f>
        <v/>
      </c>
      <c r="CX26" s="47">
        <f>IF('СРОКИ'!CX10&gt;='СРОКИ'!$B$5,'CF_Продажа'!CX17,0)</f>
        <v/>
      </c>
      <c r="CY26" s="47">
        <f>IF('СРОКИ'!CY10&gt;='СРОКИ'!$B$5,'CF_Продажа'!CY17,0)</f>
        <v/>
      </c>
      <c r="CZ26" s="47">
        <f>IF('СРОКИ'!CZ10&gt;='СРОКИ'!$B$5,'CF_Продажа'!CZ17,0)</f>
        <v/>
      </c>
      <c r="DA26" s="47">
        <f>IF('СРОКИ'!DA10&gt;='СРОКИ'!$B$5,'CF_Продажа'!DA17,0)</f>
        <v/>
      </c>
      <c r="DB26" s="47">
        <f>IF('СРОКИ'!DB10&gt;='СРОКИ'!$B$5,'CF_Продажа'!DB17,0)</f>
        <v/>
      </c>
      <c r="DC26" s="47">
        <f>IF('СРОКИ'!DC10&gt;='СРОКИ'!$B$5,'CF_Продажа'!DC17,0)</f>
        <v/>
      </c>
      <c r="DD26" s="47">
        <f>IF('СРОКИ'!DD10&gt;='СРОКИ'!$B$5,'CF_Продажа'!DD17,0)</f>
        <v/>
      </c>
      <c r="DE26" s="47">
        <f>IF('СРОКИ'!DE10&gt;='СРОКИ'!$B$5,'CF_Продажа'!DE17,0)</f>
        <v/>
      </c>
      <c r="DF26" s="47">
        <f>IF('СРОКИ'!DF10&gt;='СРОКИ'!$B$5,'CF_Продажа'!DF17,0)</f>
        <v/>
      </c>
      <c r="DG26" s="47">
        <f>IF('СРОКИ'!DG10&gt;='СРОКИ'!$B$5,'CF_Продажа'!DG17,0)</f>
        <v/>
      </c>
      <c r="DH26" s="47">
        <f>IF('СРОКИ'!DH10&gt;='СРОКИ'!$B$5,'CF_Продажа'!DH17,0)</f>
        <v/>
      </c>
      <c r="DI26" s="47">
        <f>IF('СРОКИ'!DI10&gt;='СРОКИ'!$B$5,'CF_Продажа'!DI17,0)</f>
        <v/>
      </c>
      <c r="DJ26" s="47">
        <f>IF('СРОКИ'!DJ10&gt;='СРОКИ'!$B$5,'CF_Продажа'!DJ17,0)</f>
        <v/>
      </c>
      <c r="DK26" s="47">
        <f>IF('СРОКИ'!DK10&gt;='СРОКИ'!$B$5,'CF_Продажа'!DK17,0)</f>
        <v/>
      </c>
      <c r="DL26" s="47">
        <f>IF('СРОКИ'!DL10&gt;='СРОКИ'!$B$5,'CF_Продажа'!DL17,0)</f>
        <v/>
      </c>
      <c r="DM26" s="47">
        <f>IF('СРОКИ'!DM10&gt;='СРОКИ'!$B$5,'CF_Продажа'!DM17,0)</f>
        <v/>
      </c>
    </row>
    <row r="27">
      <c r="A27" s="36" t="inlineStr">
        <is>
          <t>Выбрано линии 1 нарастающим</t>
        </is>
      </c>
      <c r="B27" s="10" t="n"/>
      <c r="C27" s="37" t="inlineStr">
        <is>
          <t>млн ₽</t>
        </is>
      </c>
      <c r="D27" s="47">
        <f>'CF_Продажа'!D25</f>
        <v/>
      </c>
      <c r="E27" s="47">
        <f>'CF_Продажа'!D27+'CF_Продажа'!E25</f>
        <v/>
      </c>
      <c r="F27" s="47">
        <f>'CF_Продажа'!E27+'CF_Продажа'!F25</f>
        <v/>
      </c>
      <c r="G27" s="47">
        <f>'CF_Продажа'!F27+'CF_Продажа'!G25</f>
        <v/>
      </c>
      <c r="H27" s="47">
        <f>'CF_Продажа'!G27+'CF_Продажа'!H25</f>
        <v/>
      </c>
      <c r="I27" s="47">
        <f>'CF_Продажа'!H27+'CF_Продажа'!I25</f>
        <v/>
      </c>
      <c r="J27" s="47">
        <f>'CF_Продажа'!I27+'CF_Продажа'!J25</f>
        <v/>
      </c>
      <c r="K27" s="47">
        <f>'CF_Продажа'!J27+'CF_Продажа'!K25</f>
        <v/>
      </c>
      <c r="L27" s="47">
        <f>'CF_Продажа'!K27+'CF_Продажа'!L25</f>
        <v/>
      </c>
      <c r="M27" s="47">
        <f>'CF_Продажа'!L27+'CF_Продажа'!M25</f>
        <v/>
      </c>
      <c r="N27" s="47">
        <f>'CF_Продажа'!M27+'CF_Продажа'!N25</f>
        <v/>
      </c>
      <c r="O27" s="47">
        <f>'CF_Продажа'!N27+'CF_Продажа'!O25</f>
        <v/>
      </c>
      <c r="P27" s="47">
        <f>'CF_Продажа'!O27+'CF_Продажа'!P25</f>
        <v/>
      </c>
      <c r="Q27" s="47">
        <f>'CF_Продажа'!P27+'CF_Продажа'!Q25</f>
        <v/>
      </c>
      <c r="R27" s="47">
        <f>'CF_Продажа'!Q27+'CF_Продажа'!R25</f>
        <v/>
      </c>
      <c r="S27" s="47">
        <f>'CF_Продажа'!R27+'CF_Продажа'!S25</f>
        <v/>
      </c>
      <c r="T27" s="47">
        <f>'CF_Продажа'!S27+'CF_Продажа'!T25</f>
        <v/>
      </c>
      <c r="U27" s="47">
        <f>'CF_Продажа'!T27+'CF_Продажа'!U25</f>
        <v/>
      </c>
      <c r="V27" s="47">
        <f>'CF_Продажа'!U27+'CF_Продажа'!V25</f>
        <v/>
      </c>
      <c r="W27" s="47">
        <f>'CF_Продажа'!V27+'CF_Продажа'!W25</f>
        <v/>
      </c>
      <c r="X27" s="47">
        <f>'CF_Продажа'!W27+'CF_Продажа'!X25</f>
        <v/>
      </c>
      <c r="Y27" s="47">
        <f>'CF_Продажа'!X27+'CF_Продажа'!Y25</f>
        <v/>
      </c>
      <c r="Z27" s="47">
        <f>'CF_Продажа'!Y27+'CF_Продажа'!Z25</f>
        <v/>
      </c>
      <c r="AA27" s="47">
        <f>'CF_Продажа'!Z27+'CF_Продажа'!AA25</f>
        <v/>
      </c>
      <c r="AB27" s="47">
        <f>'CF_Продажа'!AA27+'CF_Продажа'!AB25</f>
        <v/>
      </c>
      <c r="AC27" s="47">
        <f>'CF_Продажа'!AB27+'CF_Продажа'!AC25</f>
        <v/>
      </c>
      <c r="AD27" s="47">
        <f>'CF_Продажа'!AC27+'CF_Продажа'!AD25</f>
        <v/>
      </c>
      <c r="AE27" s="47">
        <f>'CF_Продажа'!AD27+'CF_Продажа'!AE25</f>
        <v/>
      </c>
      <c r="AF27" s="47">
        <f>'CF_Продажа'!AE27+'CF_Продажа'!AF25</f>
        <v/>
      </c>
      <c r="AG27" s="47">
        <f>'CF_Продажа'!AF27+'CF_Продажа'!AG25</f>
        <v/>
      </c>
      <c r="AH27" s="47">
        <f>'CF_Продажа'!AG27+'CF_Продажа'!AH25</f>
        <v/>
      </c>
      <c r="AI27" s="47">
        <f>'CF_Продажа'!AH27+'CF_Продажа'!AI25</f>
        <v/>
      </c>
      <c r="AJ27" s="47">
        <f>'CF_Продажа'!AI27+'CF_Продажа'!AJ25</f>
        <v/>
      </c>
      <c r="AK27" s="47">
        <f>'CF_Продажа'!AJ27+'CF_Продажа'!AK25</f>
        <v/>
      </c>
      <c r="AL27" s="47">
        <f>'CF_Продажа'!AK27+'CF_Продажа'!AL25</f>
        <v/>
      </c>
      <c r="AM27" s="47">
        <f>'CF_Продажа'!AL27+'CF_Продажа'!AM25</f>
        <v/>
      </c>
      <c r="AN27" s="47">
        <f>'CF_Продажа'!AM27+'CF_Продажа'!AN25</f>
        <v/>
      </c>
      <c r="AO27" s="47">
        <f>'CF_Продажа'!AN27+'CF_Продажа'!AO25</f>
        <v/>
      </c>
      <c r="AP27" s="47">
        <f>'CF_Продажа'!AO27+'CF_Продажа'!AP25</f>
        <v/>
      </c>
      <c r="AQ27" s="47">
        <f>'CF_Продажа'!AP27+'CF_Продажа'!AQ25</f>
        <v/>
      </c>
      <c r="AR27" s="47">
        <f>'CF_Продажа'!AQ27+'CF_Продажа'!AR25</f>
        <v/>
      </c>
      <c r="AS27" s="47">
        <f>'CF_Продажа'!AR27+'CF_Продажа'!AS25</f>
        <v/>
      </c>
      <c r="AT27" s="47">
        <f>'CF_Продажа'!AS27+'CF_Продажа'!AT25</f>
        <v/>
      </c>
      <c r="AU27" s="47">
        <f>'CF_Продажа'!AT27+'CF_Продажа'!AU25</f>
        <v/>
      </c>
      <c r="AV27" s="47">
        <f>'CF_Продажа'!AU27+'CF_Продажа'!AV25</f>
        <v/>
      </c>
      <c r="AW27" s="47">
        <f>'CF_Продажа'!AV27+'CF_Продажа'!AW25</f>
        <v/>
      </c>
      <c r="AX27" s="47">
        <f>'CF_Продажа'!AW27+'CF_Продажа'!AX25</f>
        <v/>
      </c>
      <c r="AY27" s="47">
        <f>'CF_Продажа'!AX27+'CF_Продажа'!AY25</f>
        <v/>
      </c>
      <c r="AZ27" s="47">
        <f>'CF_Продажа'!AY27+'CF_Продажа'!AZ25</f>
        <v/>
      </c>
      <c r="BA27" s="47">
        <f>'CF_Продажа'!AZ27+'CF_Продажа'!BA25</f>
        <v/>
      </c>
      <c r="BB27" s="47">
        <f>'CF_Продажа'!BA27+'CF_Продажа'!BB25</f>
        <v/>
      </c>
      <c r="BC27" s="47">
        <f>'CF_Продажа'!BB27+'CF_Продажа'!BC25</f>
        <v/>
      </c>
      <c r="BD27" s="47">
        <f>'CF_Продажа'!BC27+'CF_Продажа'!BD25</f>
        <v/>
      </c>
      <c r="BE27" s="47">
        <f>'CF_Продажа'!BD27+'CF_Продажа'!BE25</f>
        <v/>
      </c>
      <c r="BF27" s="47">
        <f>'CF_Продажа'!BE27+'CF_Продажа'!BF25</f>
        <v/>
      </c>
      <c r="BG27" s="47">
        <f>'CF_Продажа'!BF27+'CF_Продажа'!BG25</f>
        <v/>
      </c>
      <c r="BH27" s="47">
        <f>'CF_Продажа'!BG27+'CF_Продажа'!BH25</f>
        <v/>
      </c>
      <c r="BI27" s="47">
        <f>'CF_Продажа'!BH27+'CF_Продажа'!BI25</f>
        <v/>
      </c>
      <c r="BJ27" s="47">
        <f>'CF_Продажа'!BI27+'CF_Продажа'!BJ25</f>
        <v/>
      </c>
      <c r="BK27" s="47">
        <f>'CF_Продажа'!BJ27+'CF_Продажа'!BK25</f>
        <v/>
      </c>
      <c r="BL27" s="47">
        <f>'CF_Продажа'!BK27+'CF_Продажа'!BL25</f>
        <v/>
      </c>
      <c r="BM27" s="47">
        <f>'CF_Продажа'!BL27+'CF_Продажа'!BM25</f>
        <v/>
      </c>
      <c r="BN27" s="47">
        <f>'CF_Продажа'!BM27+'CF_Продажа'!BN25</f>
        <v/>
      </c>
      <c r="BO27" s="47">
        <f>'CF_Продажа'!BN27+'CF_Продажа'!BO25</f>
        <v/>
      </c>
      <c r="BP27" s="47">
        <f>'CF_Продажа'!BO27+'CF_Продажа'!BP25</f>
        <v/>
      </c>
      <c r="BQ27" s="47">
        <f>'CF_Продажа'!BP27+'CF_Продажа'!BQ25</f>
        <v/>
      </c>
      <c r="BR27" s="47">
        <f>'CF_Продажа'!BQ27+'CF_Продажа'!BR25</f>
        <v/>
      </c>
      <c r="BS27" s="47">
        <f>'CF_Продажа'!BR27+'CF_Продажа'!BS25</f>
        <v/>
      </c>
      <c r="BT27" s="47">
        <f>'CF_Продажа'!BS27+'CF_Продажа'!BT25</f>
        <v/>
      </c>
      <c r="BU27" s="47">
        <f>'CF_Продажа'!BT27+'CF_Продажа'!BU25</f>
        <v/>
      </c>
      <c r="BV27" s="47">
        <f>'CF_Продажа'!BU27+'CF_Продажа'!BV25</f>
        <v/>
      </c>
      <c r="BW27" s="47">
        <f>'CF_Продажа'!BV27+'CF_Продажа'!BW25</f>
        <v/>
      </c>
      <c r="BX27" s="47">
        <f>'CF_Продажа'!BW27+'CF_Продажа'!BX25</f>
        <v/>
      </c>
      <c r="BY27" s="47">
        <f>'CF_Продажа'!BX27+'CF_Продажа'!BY25</f>
        <v/>
      </c>
      <c r="BZ27" s="47">
        <f>'CF_Продажа'!BY27+'CF_Продажа'!BZ25</f>
        <v/>
      </c>
      <c r="CA27" s="47">
        <f>'CF_Продажа'!BZ27+'CF_Продажа'!CA25</f>
        <v/>
      </c>
      <c r="CB27" s="47">
        <f>'CF_Продажа'!CA27+'CF_Продажа'!CB25</f>
        <v/>
      </c>
      <c r="CC27" s="47">
        <f>'CF_Продажа'!CB27+'CF_Продажа'!CC25</f>
        <v/>
      </c>
      <c r="CD27" s="47">
        <f>'CF_Продажа'!CC27+'CF_Продажа'!CD25</f>
        <v/>
      </c>
      <c r="CE27" s="47">
        <f>'CF_Продажа'!CD27+'CF_Продажа'!CE25</f>
        <v/>
      </c>
      <c r="CF27" s="47">
        <f>'CF_Продажа'!CE27+'CF_Продажа'!CF25</f>
        <v/>
      </c>
      <c r="CG27" s="47">
        <f>'CF_Продажа'!CF27+'CF_Продажа'!CG25</f>
        <v/>
      </c>
      <c r="CH27" s="47">
        <f>'CF_Продажа'!CG27+'CF_Продажа'!CH25</f>
        <v/>
      </c>
      <c r="CI27" s="47">
        <f>'CF_Продажа'!CH27+'CF_Продажа'!CI25</f>
        <v/>
      </c>
      <c r="CJ27" s="47">
        <f>'CF_Продажа'!CI27+'CF_Продажа'!CJ25</f>
        <v/>
      </c>
      <c r="CK27" s="47">
        <f>'CF_Продажа'!CJ27+'CF_Продажа'!CK25</f>
        <v/>
      </c>
      <c r="CL27" s="47">
        <f>'CF_Продажа'!CK27+'CF_Продажа'!CL25</f>
        <v/>
      </c>
      <c r="CM27" s="47">
        <f>'CF_Продажа'!CL27+'CF_Продажа'!CM25</f>
        <v/>
      </c>
      <c r="CN27" s="47">
        <f>'CF_Продажа'!CM27+'CF_Продажа'!CN25</f>
        <v/>
      </c>
      <c r="CO27" s="47">
        <f>'CF_Продажа'!CN27+'CF_Продажа'!CO25</f>
        <v/>
      </c>
      <c r="CP27" s="47">
        <f>'CF_Продажа'!CO27+'CF_Продажа'!CP25</f>
        <v/>
      </c>
      <c r="CQ27" s="47">
        <f>'CF_Продажа'!CP27+'CF_Продажа'!CQ25</f>
        <v/>
      </c>
      <c r="CR27" s="47">
        <f>'CF_Продажа'!CQ27+'CF_Продажа'!CR25</f>
        <v/>
      </c>
      <c r="CS27" s="47">
        <f>'CF_Продажа'!CR27+'CF_Продажа'!CS25</f>
        <v/>
      </c>
      <c r="CT27" s="47">
        <f>'CF_Продажа'!CS27+'CF_Продажа'!CT25</f>
        <v/>
      </c>
      <c r="CU27" s="47">
        <f>'CF_Продажа'!CT27+'CF_Продажа'!CU25</f>
        <v/>
      </c>
      <c r="CV27" s="47">
        <f>'CF_Продажа'!CU27+'CF_Продажа'!CV25</f>
        <v/>
      </c>
      <c r="CW27" s="47">
        <f>'CF_Продажа'!CV27+'CF_Продажа'!CW25</f>
        <v/>
      </c>
      <c r="CX27" s="47">
        <f>'CF_Продажа'!CW27+'CF_Продажа'!CX25</f>
        <v/>
      </c>
      <c r="CY27" s="47">
        <f>'CF_Продажа'!CX27+'CF_Продажа'!CY25</f>
        <v/>
      </c>
      <c r="CZ27" s="47">
        <f>'CF_Продажа'!CY27+'CF_Продажа'!CZ25</f>
        <v/>
      </c>
      <c r="DA27" s="47">
        <f>'CF_Продажа'!CZ27+'CF_Продажа'!DA25</f>
        <v/>
      </c>
      <c r="DB27" s="47">
        <f>'CF_Продажа'!DA27+'CF_Продажа'!DB25</f>
        <v/>
      </c>
      <c r="DC27" s="47">
        <f>'CF_Продажа'!DB27+'CF_Продажа'!DC25</f>
        <v/>
      </c>
      <c r="DD27" s="47">
        <f>'CF_Продажа'!DC27+'CF_Продажа'!DD25</f>
        <v/>
      </c>
      <c r="DE27" s="47">
        <f>'CF_Продажа'!DD27+'CF_Продажа'!DE25</f>
        <v/>
      </c>
      <c r="DF27" s="47">
        <f>'CF_Продажа'!DE27+'CF_Продажа'!DF25</f>
        <v/>
      </c>
      <c r="DG27" s="47">
        <f>'CF_Продажа'!DF27+'CF_Продажа'!DG25</f>
        <v/>
      </c>
      <c r="DH27" s="47">
        <f>'CF_Продажа'!DG27+'CF_Продажа'!DH25</f>
        <v/>
      </c>
      <c r="DI27" s="47">
        <f>'CF_Продажа'!DH27+'CF_Продажа'!DI25</f>
        <v/>
      </c>
      <c r="DJ27" s="47">
        <f>'CF_Продажа'!DI27+'CF_Продажа'!DJ25</f>
        <v/>
      </c>
      <c r="DK27" s="47">
        <f>'CF_Продажа'!DJ27+'CF_Продажа'!DK25</f>
        <v/>
      </c>
      <c r="DL27" s="47">
        <f>'CF_Продажа'!DK27+'CF_Продажа'!DL25</f>
        <v/>
      </c>
      <c r="DM27" s="47">
        <f>'CF_Продажа'!DL27+'CF_Продажа'!DM25</f>
        <v/>
      </c>
    </row>
    <row r="28">
      <c r="A28" s="36" t="inlineStr">
        <is>
          <t>Выбрано линии 2 нарастающим</t>
        </is>
      </c>
      <c r="B28" s="10" t="n"/>
      <c r="C28" s="37" t="inlineStr">
        <is>
          <t>млн ₽</t>
        </is>
      </c>
      <c r="D28" s="47">
        <f>'CF_Продажа'!D26</f>
        <v/>
      </c>
      <c r="E28" s="47">
        <f>'CF_Продажа'!D28+'CF_Продажа'!E26</f>
        <v/>
      </c>
      <c r="F28" s="47">
        <f>'CF_Продажа'!E28+'CF_Продажа'!F26</f>
        <v/>
      </c>
      <c r="G28" s="47">
        <f>'CF_Продажа'!F28+'CF_Продажа'!G26</f>
        <v/>
      </c>
      <c r="H28" s="47">
        <f>'CF_Продажа'!G28+'CF_Продажа'!H26</f>
        <v/>
      </c>
      <c r="I28" s="47">
        <f>'CF_Продажа'!H28+'CF_Продажа'!I26</f>
        <v/>
      </c>
      <c r="J28" s="47">
        <f>'CF_Продажа'!I28+'CF_Продажа'!J26</f>
        <v/>
      </c>
      <c r="K28" s="47">
        <f>'CF_Продажа'!J28+'CF_Продажа'!K26</f>
        <v/>
      </c>
      <c r="L28" s="47">
        <f>'CF_Продажа'!K28+'CF_Продажа'!L26</f>
        <v/>
      </c>
      <c r="M28" s="47">
        <f>'CF_Продажа'!L28+'CF_Продажа'!M26</f>
        <v/>
      </c>
      <c r="N28" s="47">
        <f>'CF_Продажа'!M28+'CF_Продажа'!N26</f>
        <v/>
      </c>
      <c r="O28" s="47">
        <f>'CF_Продажа'!N28+'CF_Продажа'!O26</f>
        <v/>
      </c>
      <c r="P28" s="47">
        <f>'CF_Продажа'!O28+'CF_Продажа'!P26</f>
        <v/>
      </c>
      <c r="Q28" s="47">
        <f>'CF_Продажа'!P28+'CF_Продажа'!Q26</f>
        <v/>
      </c>
      <c r="R28" s="47">
        <f>'CF_Продажа'!Q28+'CF_Продажа'!R26</f>
        <v/>
      </c>
      <c r="S28" s="47">
        <f>'CF_Продажа'!R28+'CF_Продажа'!S26</f>
        <v/>
      </c>
      <c r="T28" s="47">
        <f>'CF_Продажа'!S28+'CF_Продажа'!T26</f>
        <v/>
      </c>
      <c r="U28" s="47">
        <f>'CF_Продажа'!T28+'CF_Продажа'!U26</f>
        <v/>
      </c>
      <c r="V28" s="47">
        <f>'CF_Продажа'!U28+'CF_Продажа'!V26</f>
        <v/>
      </c>
      <c r="W28" s="47">
        <f>'CF_Продажа'!V28+'CF_Продажа'!W26</f>
        <v/>
      </c>
      <c r="X28" s="47">
        <f>'CF_Продажа'!W28+'CF_Продажа'!X26</f>
        <v/>
      </c>
      <c r="Y28" s="47">
        <f>'CF_Продажа'!X28+'CF_Продажа'!Y26</f>
        <v/>
      </c>
      <c r="Z28" s="47">
        <f>'CF_Продажа'!Y28+'CF_Продажа'!Z26</f>
        <v/>
      </c>
      <c r="AA28" s="47">
        <f>'CF_Продажа'!Z28+'CF_Продажа'!AA26</f>
        <v/>
      </c>
      <c r="AB28" s="47">
        <f>'CF_Продажа'!AA28+'CF_Продажа'!AB26</f>
        <v/>
      </c>
      <c r="AC28" s="47">
        <f>'CF_Продажа'!AB28+'CF_Продажа'!AC26</f>
        <v/>
      </c>
      <c r="AD28" s="47">
        <f>'CF_Продажа'!AC28+'CF_Продажа'!AD26</f>
        <v/>
      </c>
      <c r="AE28" s="47">
        <f>'CF_Продажа'!AD28+'CF_Продажа'!AE26</f>
        <v/>
      </c>
      <c r="AF28" s="47">
        <f>'CF_Продажа'!AE28+'CF_Продажа'!AF26</f>
        <v/>
      </c>
      <c r="AG28" s="47">
        <f>'CF_Продажа'!AF28+'CF_Продажа'!AG26</f>
        <v/>
      </c>
      <c r="AH28" s="47">
        <f>'CF_Продажа'!AG28+'CF_Продажа'!AH26</f>
        <v/>
      </c>
      <c r="AI28" s="47">
        <f>'CF_Продажа'!AH28+'CF_Продажа'!AI26</f>
        <v/>
      </c>
      <c r="AJ28" s="47">
        <f>'CF_Продажа'!AI28+'CF_Продажа'!AJ26</f>
        <v/>
      </c>
      <c r="AK28" s="47">
        <f>'CF_Продажа'!AJ28+'CF_Продажа'!AK26</f>
        <v/>
      </c>
      <c r="AL28" s="47">
        <f>'CF_Продажа'!AK28+'CF_Продажа'!AL26</f>
        <v/>
      </c>
      <c r="AM28" s="47">
        <f>'CF_Продажа'!AL28+'CF_Продажа'!AM26</f>
        <v/>
      </c>
      <c r="AN28" s="47">
        <f>'CF_Продажа'!AM28+'CF_Продажа'!AN26</f>
        <v/>
      </c>
      <c r="AO28" s="47">
        <f>'CF_Продажа'!AN28+'CF_Продажа'!AO26</f>
        <v/>
      </c>
      <c r="AP28" s="47">
        <f>'CF_Продажа'!AO28+'CF_Продажа'!AP26</f>
        <v/>
      </c>
      <c r="AQ28" s="47">
        <f>'CF_Продажа'!AP28+'CF_Продажа'!AQ26</f>
        <v/>
      </c>
      <c r="AR28" s="47">
        <f>'CF_Продажа'!AQ28+'CF_Продажа'!AR26</f>
        <v/>
      </c>
      <c r="AS28" s="47">
        <f>'CF_Продажа'!AR28+'CF_Продажа'!AS26</f>
        <v/>
      </c>
      <c r="AT28" s="47">
        <f>'CF_Продажа'!AS28+'CF_Продажа'!AT26</f>
        <v/>
      </c>
      <c r="AU28" s="47">
        <f>'CF_Продажа'!AT28+'CF_Продажа'!AU26</f>
        <v/>
      </c>
      <c r="AV28" s="47">
        <f>'CF_Продажа'!AU28+'CF_Продажа'!AV26</f>
        <v/>
      </c>
      <c r="AW28" s="47">
        <f>'CF_Продажа'!AV28+'CF_Продажа'!AW26</f>
        <v/>
      </c>
      <c r="AX28" s="47">
        <f>'CF_Продажа'!AW28+'CF_Продажа'!AX26</f>
        <v/>
      </c>
      <c r="AY28" s="47">
        <f>'CF_Продажа'!AX28+'CF_Продажа'!AY26</f>
        <v/>
      </c>
      <c r="AZ28" s="47">
        <f>'CF_Продажа'!AY28+'CF_Продажа'!AZ26</f>
        <v/>
      </c>
      <c r="BA28" s="47">
        <f>'CF_Продажа'!AZ28+'CF_Продажа'!BA26</f>
        <v/>
      </c>
      <c r="BB28" s="47">
        <f>'CF_Продажа'!BA28+'CF_Продажа'!BB26</f>
        <v/>
      </c>
      <c r="BC28" s="47">
        <f>'CF_Продажа'!BB28+'CF_Продажа'!BC26</f>
        <v/>
      </c>
      <c r="BD28" s="47">
        <f>'CF_Продажа'!BC28+'CF_Продажа'!BD26</f>
        <v/>
      </c>
      <c r="BE28" s="47">
        <f>'CF_Продажа'!BD28+'CF_Продажа'!BE26</f>
        <v/>
      </c>
      <c r="BF28" s="47">
        <f>'CF_Продажа'!BE28+'CF_Продажа'!BF26</f>
        <v/>
      </c>
      <c r="BG28" s="47">
        <f>'CF_Продажа'!BF28+'CF_Продажа'!BG26</f>
        <v/>
      </c>
      <c r="BH28" s="47">
        <f>'CF_Продажа'!BG28+'CF_Продажа'!BH26</f>
        <v/>
      </c>
      <c r="BI28" s="47">
        <f>'CF_Продажа'!BH28+'CF_Продажа'!BI26</f>
        <v/>
      </c>
      <c r="BJ28" s="47">
        <f>'CF_Продажа'!BI28+'CF_Продажа'!BJ26</f>
        <v/>
      </c>
      <c r="BK28" s="47">
        <f>'CF_Продажа'!BJ28+'CF_Продажа'!BK26</f>
        <v/>
      </c>
      <c r="BL28" s="47">
        <f>'CF_Продажа'!BK28+'CF_Продажа'!BL26</f>
        <v/>
      </c>
      <c r="BM28" s="47">
        <f>'CF_Продажа'!BL28+'CF_Продажа'!BM26</f>
        <v/>
      </c>
      <c r="BN28" s="47">
        <f>'CF_Продажа'!BM28+'CF_Продажа'!BN26</f>
        <v/>
      </c>
      <c r="BO28" s="47">
        <f>'CF_Продажа'!BN28+'CF_Продажа'!BO26</f>
        <v/>
      </c>
      <c r="BP28" s="47">
        <f>'CF_Продажа'!BO28+'CF_Продажа'!BP26</f>
        <v/>
      </c>
      <c r="BQ28" s="47">
        <f>'CF_Продажа'!BP28+'CF_Продажа'!BQ26</f>
        <v/>
      </c>
      <c r="BR28" s="47">
        <f>'CF_Продажа'!BQ28+'CF_Продажа'!BR26</f>
        <v/>
      </c>
      <c r="BS28" s="47">
        <f>'CF_Продажа'!BR28+'CF_Продажа'!BS26</f>
        <v/>
      </c>
      <c r="BT28" s="47">
        <f>'CF_Продажа'!BS28+'CF_Продажа'!BT26</f>
        <v/>
      </c>
      <c r="BU28" s="47">
        <f>'CF_Продажа'!BT28+'CF_Продажа'!BU26</f>
        <v/>
      </c>
      <c r="BV28" s="47">
        <f>'CF_Продажа'!BU28+'CF_Продажа'!BV26</f>
        <v/>
      </c>
      <c r="BW28" s="47">
        <f>'CF_Продажа'!BV28+'CF_Продажа'!BW26</f>
        <v/>
      </c>
      <c r="BX28" s="47">
        <f>'CF_Продажа'!BW28+'CF_Продажа'!BX26</f>
        <v/>
      </c>
      <c r="BY28" s="47">
        <f>'CF_Продажа'!BX28+'CF_Продажа'!BY26</f>
        <v/>
      </c>
      <c r="BZ28" s="47">
        <f>'CF_Продажа'!BY28+'CF_Продажа'!BZ26</f>
        <v/>
      </c>
      <c r="CA28" s="47">
        <f>'CF_Продажа'!BZ28+'CF_Продажа'!CA26</f>
        <v/>
      </c>
      <c r="CB28" s="47">
        <f>'CF_Продажа'!CA28+'CF_Продажа'!CB26</f>
        <v/>
      </c>
      <c r="CC28" s="47">
        <f>'CF_Продажа'!CB28+'CF_Продажа'!CC26</f>
        <v/>
      </c>
      <c r="CD28" s="47">
        <f>'CF_Продажа'!CC28+'CF_Продажа'!CD26</f>
        <v/>
      </c>
      <c r="CE28" s="47">
        <f>'CF_Продажа'!CD28+'CF_Продажа'!CE26</f>
        <v/>
      </c>
      <c r="CF28" s="47">
        <f>'CF_Продажа'!CE28+'CF_Продажа'!CF26</f>
        <v/>
      </c>
      <c r="CG28" s="47">
        <f>'CF_Продажа'!CF28+'CF_Продажа'!CG26</f>
        <v/>
      </c>
      <c r="CH28" s="47">
        <f>'CF_Продажа'!CG28+'CF_Продажа'!CH26</f>
        <v/>
      </c>
      <c r="CI28" s="47">
        <f>'CF_Продажа'!CH28+'CF_Продажа'!CI26</f>
        <v/>
      </c>
      <c r="CJ28" s="47">
        <f>'CF_Продажа'!CI28+'CF_Продажа'!CJ26</f>
        <v/>
      </c>
      <c r="CK28" s="47">
        <f>'CF_Продажа'!CJ28+'CF_Продажа'!CK26</f>
        <v/>
      </c>
      <c r="CL28" s="47">
        <f>'CF_Продажа'!CK28+'CF_Продажа'!CL26</f>
        <v/>
      </c>
      <c r="CM28" s="47">
        <f>'CF_Продажа'!CL28+'CF_Продажа'!CM26</f>
        <v/>
      </c>
      <c r="CN28" s="47">
        <f>'CF_Продажа'!CM28+'CF_Продажа'!CN26</f>
        <v/>
      </c>
      <c r="CO28" s="47">
        <f>'CF_Продажа'!CN28+'CF_Продажа'!CO26</f>
        <v/>
      </c>
      <c r="CP28" s="47">
        <f>'CF_Продажа'!CO28+'CF_Продажа'!CP26</f>
        <v/>
      </c>
      <c r="CQ28" s="47">
        <f>'CF_Продажа'!CP28+'CF_Продажа'!CQ26</f>
        <v/>
      </c>
      <c r="CR28" s="47">
        <f>'CF_Продажа'!CQ28+'CF_Продажа'!CR26</f>
        <v/>
      </c>
      <c r="CS28" s="47">
        <f>'CF_Продажа'!CR28+'CF_Продажа'!CS26</f>
        <v/>
      </c>
      <c r="CT28" s="47">
        <f>'CF_Продажа'!CS28+'CF_Продажа'!CT26</f>
        <v/>
      </c>
      <c r="CU28" s="47">
        <f>'CF_Продажа'!CT28+'CF_Продажа'!CU26</f>
        <v/>
      </c>
      <c r="CV28" s="47">
        <f>'CF_Продажа'!CU28+'CF_Продажа'!CV26</f>
        <v/>
      </c>
      <c r="CW28" s="47">
        <f>'CF_Продажа'!CV28+'CF_Продажа'!CW26</f>
        <v/>
      </c>
      <c r="CX28" s="47">
        <f>'CF_Продажа'!CW28+'CF_Продажа'!CX26</f>
        <v/>
      </c>
      <c r="CY28" s="47">
        <f>'CF_Продажа'!CX28+'CF_Продажа'!CY26</f>
        <v/>
      </c>
      <c r="CZ28" s="47">
        <f>'CF_Продажа'!CY28+'CF_Продажа'!CZ26</f>
        <v/>
      </c>
      <c r="DA28" s="47">
        <f>'CF_Продажа'!CZ28+'CF_Продажа'!DA26</f>
        <v/>
      </c>
      <c r="DB28" s="47">
        <f>'CF_Продажа'!DA28+'CF_Продажа'!DB26</f>
        <v/>
      </c>
      <c r="DC28" s="47">
        <f>'CF_Продажа'!DB28+'CF_Продажа'!DC26</f>
        <v/>
      </c>
      <c r="DD28" s="47">
        <f>'CF_Продажа'!DC28+'CF_Продажа'!DD26</f>
        <v/>
      </c>
      <c r="DE28" s="47">
        <f>'CF_Продажа'!DD28+'CF_Продажа'!DE26</f>
        <v/>
      </c>
      <c r="DF28" s="47">
        <f>'CF_Продажа'!DE28+'CF_Продажа'!DF26</f>
        <v/>
      </c>
      <c r="DG28" s="47">
        <f>'CF_Продажа'!DF28+'CF_Продажа'!DG26</f>
        <v/>
      </c>
      <c r="DH28" s="47">
        <f>'CF_Продажа'!DG28+'CF_Продажа'!DH26</f>
        <v/>
      </c>
      <c r="DI28" s="47">
        <f>'CF_Продажа'!DH28+'CF_Продажа'!DI26</f>
        <v/>
      </c>
      <c r="DJ28" s="47">
        <f>'CF_Продажа'!DI28+'CF_Продажа'!DJ26</f>
        <v/>
      </c>
      <c r="DK28" s="47">
        <f>'CF_Продажа'!DJ28+'CF_Продажа'!DK26</f>
        <v/>
      </c>
      <c r="DL28" s="47">
        <f>'CF_Продажа'!DK28+'CF_Продажа'!DL26</f>
        <v/>
      </c>
      <c r="DM28" s="47">
        <f>'CF_Продажа'!DL28+'CF_Продажа'!DM26</f>
        <v/>
      </c>
    </row>
    <row r="29">
      <c r="A29" s="36" t="inlineStr">
        <is>
          <t>Комиссии банка</t>
        </is>
      </c>
      <c r="B29" s="40">
        <f>SUM(D29:DM29)</f>
        <v/>
      </c>
      <c r="C29" s="37" t="inlineStr">
        <is>
          <t>млн ₽</t>
        </is>
      </c>
      <c r="D29" s="47">
        <f>'CF_Продажа'!D17*'Вводные'!$B$57+IF('CF_Продажа'!D25&gt;0,'CF_Продажа'!$B$25*'Вводные'!$B$58+('CF_Продажа'!$B$25-'CF_Продажа'!D27)*'Вводные'!$B$59/12,0)</f>
        <v/>
      </c>
      <c r="E29" s="47">
        <f>'CF_Продажа'!E17*'Вводные'!$B$57+IF(AND('CF_Продажа'!E25&gt;0,'CF_Продажа'!D27=0),'CF_Продажа'!$B$25*'Вводные'!$B$58,0)+IF(AND('CF_Продажа'!E26&gt;0,'CF_Продажа'!D28=0),'CF_Продажа'!$B$26*'Вводные'!$B$58,0)+IF(AND('CF_Продажа'!E27&gt;0,'СРОКИ'!E10&lt;'СРОКИ'!$B$5),('CF_Продажа'!$B$25-'CF_Продажа'!E27)*'Вводные'!$B$59/12,0)+IF(AND('CF_Продажа'!E28&gt;0,'СРОКИ'!E10&lt;='СРОКИ'!$B$6),('CF_Продажа'!$B$26-'CF_Продажа'!E28)*'Вводные'!$B$59/12,0)</f>
        <v/>
      </c>
      <c r="F29" s="47">
        <f>'CF_Продажа'!F17*'Вводные'!$B$57+IF(AND('CF_Продажа'!F25&gt;0,'CF_Продажа'!E27=0),'CF_Продажа'!$B$25*'Вводные'!$B$58,0)+IF(AND('CF_Продажа'!F26&gt;0,'CF_Продажа'!E28=0),'CF_Продажа'!$B$26*'Вводные'!$B$58,0)+IF(AND('CF_Продажа'!F27&gt;0,'СРОКИ'!F10&lt;'СРОКИ'!$B$5),('CF_Продажа'!$B$25-'CF_Продажа'!F27)*'Вводные'!$B$59/12,0)+IF(AND('CF_Продажа'!F28&gt;0,'СРОКИ'!F10&lt;='СРОКИ'!$B$6),('CF_Продажа'!$B$26-'CF_Продажа'!F28)*'Вводные'!$B$59/12,0)</f>
        <v/>
      </c>
      <c r="G29" s="47">
        <f>'CF_Продажа'!G17*'Вводные'!$B$57+IF(AND('CF_Продажа'!G25&gt;0,'CF_Продажа'!F27=0),'CF_Продажа'!$B$25*'Вводные'!$B$58,0)+IF(AND('CF_Продажа'!G26&gt;0,'CF_Продажа'!F28=0),'CF_Продажа'!$B$26*'Вводные'!$B$58,0)+IF(AND('CF_Продажа'!G27&gt;0,'СРОКИ'!G10&lt;'СРОКИ'!$B$5),('CF_Продажа'!$B$25-'CF_Продажа'!G27)*'Вводные'!$B$59/12,0)+IF(AND('CF_Продажа'!G28&gt;0,'СРОКИ'!G10&lt;='СРОКИ'!$B$6),('CF_Продажа'!$B$26-'CF_Продажа'!G28)*'Вводные'!$B$59/12,0)</f>
        <v/>
      </c>
      <c r="H29" s="47">
        <f>'CF_Продажа'!H17*'Вводные'!$B$57+IF(AND('CF_Продажа'!H25&gt;0,'CF_Продажа'!G27=0),'CF_Продажа'!$B$25*'Вводные'!$B$58,0)+IF(AND('CF_Продажа'!H26&gt;0,'CF_Продажа'!G28=0),'CF_Продажа'!$B$26*'Вводные'!$B$58,0)+IF(AND('CF_Продажа'!H27&gt;0,'СРОКИ'!H10&lt;'СРОКИ'!$B$5),('CF_Продажа'!$B$25-'CF_Продажа'!H27)*'Вводные'!$B$59/12,0)+IF(AND('CF_Продажа'!H28&gt;0,'СРОКИ'!H10&lt;='СРОКИ'!$B$6),('CF_Продажа'!$B$26-'CF_Продажа'!H28)*'Вводные'!$B$59/12,0)</f>
        <v/>
      </c>
      <c r="I29" s="47">
        <f>'CF_Продажа'!I17*'Вводные'!$B$57+IF(AND('CF_Продажа'!I25&gt;0,'CF_Продажа'!H27=0),'CF_Продажа'!$B$25*'Вводные'!$B$58,0)+IF(AND('CF_Продажа'!I26&gt;0,'CF_Продажа'!H28=0),'CF_Продажа'!$B$26*'Вводные'!$B$58,0)+IF(AND('CF_Продажа'!I27&gt;0,'СРОКИ'!I10&lt;'СРОКИ'!$B$5),('CF_Продажа'!$B$25-'CF_Продажа'!I27)*'Вводные'!$B$59/12,0)+IF(AND('CF_Продажа'!I28&gt;0,'СРОКИ'!I10&lt;='СРОКИ'!$B$6),('CF_Продажа'!$B$26-'CF_Продажа'!I28)*'Вводные'!$B$59/12,0)</f>
        <v/>
      </c>
      <c r="J29" s="47">
        <f>'CF_Продажа'!J17*'Вводные'!$B$57+IF(AND('CF_Продажа'!J25&gt;0,'CF_Продажа'!I27=0),'CF_Продажа'!$B$25*'Вводные'!$B$58,0)+IF(AND('CF_Продажа'!J26&gt;0,'CF_Продажа'!I28=0),'CF_Продажа'!$B$26*'Вводные'!$B$58,0)+IF(AND('CF_Продажа'!J27&gt;0,'СРОКИ'!J10&lt;'СРОКИ'!$B$5),('CF_Продажа'!$B$25-'CF_Продажа'!J27)*'Вводные'!$B$59/12,0)+IF(AND('CF_Продажа'!J28&gt;0,'СРОКИ'!J10&lt;='СРОКИ'!$B$6),('CF_Продажа'!$B$26-'CF_Продажа'!J28)*'Вводные'!$B$59/12,0)</f>
        <v/>
      </c>
      <c r="K29" s="47">
        <f>'CF_Продажа'!K17*'Вводные'!$B$57+IF(AND('CF_Продажа'!K25&gt;0,'CF_Продажа'!J27=0),'CF_Продажа'!$B$25*'Вводные'!$B$58,0)+IF(AND('CF_Продажа'!K26&gt;0,'CF_Продажа'!J28=0),'CF_Продажа'!$B$26*'Вводные'!$B$58,0)+IF(AND('CF_Продажа'!K27&gt;0,'СРОКИ'!K10&lt;'СРОКИ'!$B$5),('CF_Продажа'!$B$25-'CF_Продажа'!K27)*'Вводные'!$B$59/12,0)+IF(AND('CF_Продажа'!K28&gt;0,'СРОКИ'!K10&lt;='СРОКИ'!$B$6),('CF_Продажа'!$B$26-'CF_Продажа'!K28)*'Вводные'!$B$59/12,0)</f>
        <v/>
      </c>
      <c r="L29" s="47">
        <f>'CF_Продажа'!L17*'Вводные'!$B$57+IF(AND('CF_Продажа'!L25&gt;0,'CF_Продажа'!K27=0),'CF_Продажа'!$B$25*'Вводные'!$B$58,0)+IF(AND('CF_Продажа'!L26&gt;0,'CF_Продажа'!K28=0),'CF_Продажа'!$B$26*'Вводные'!$B$58,0)+IF(AND('CF_Продажа'!L27&gt;0,'СРОКИ'!L10&lt;'СРОКИ'!$B$5),('CF_Продажа'!$B$25-'CF_Продажа'!L27)*'Вводные'!$B$59/12,0)+IF(AND('CF_Продажа'!L28&gt;0,'СРОКИ'!L10&lt;='СРОКИ'!$B$6),('CF_Продажа'!$B$26-'CF_Продажа'!L28)*'Вводные'!$B$59/12,0)</f>
        <v/>
      </c>
      <c r="M29" s="47">
        <f>'CF_Продажа'!M17*'Вводные'!$B$57+IF(AND('CF_Продажа'!M25&gt;0,'CF_Продажа'!L27=0),'CF_Продажа'!$B$25*'Вводные'!$B$58,0)+IF(AND('CF_Продажа'!M26&gt;0,'CF_Продажа'!L28=0),'CF_Продажа'!$B$26*'Вводные'!$B$58,0)+IF(AND('CF_Продажа'!M27&gt;0,'СРОКИ'!M10&lt;'СРОКИ'!$B$5),('CF_Продажа'!$B$25-'CF_Продажа'!M27)*'Вводные'!$B$59/12,0)+IF(AND('CF_Продажа'!M28&gt;0,'СРОКИ'!M10&lt;='СРОКИ'!$B$6),('CF_Продажа'!$B$26-'CF_Продажа'!M28)*'Вводные'!$B$59/12,0)</f>
        <v/>
      </c>
      <c r="N29" s="47">
        <f>'CF_Продажа'!N17*'Вводные'!$B$57+IF(AND('CF_Продажа'!N25&gt;0,'CF_Продажа'!M27=0),'CF_Продажа'!$B$25*'Вводные'!$B$58,0)+IF(AND('CF_Продажа'!N26&gt;0,'CF_Продажа'!M28=0),'CF_Продажа'!$B$26*'Вводные'!$B$58,0)+IF(AND('CF_Продажа'!N27&gt;0,'СРОКИ'!N10&lt;'СРОКИ'!$B$5),('CF_Продажа'!$B$25-'CF_Продажа'!N27)*'Вводные'!$B$59/12,0)+IF(AND('CF_Продажа'!N28&gt;0,'СРОКИ'!N10&lt;='СРОКИ'!$B$6),('CF_Продажа'!$B$26-'CF_Продажа'!N28)*'Вводные'!$B$59/12,0)</f>
        <v/>
      </c>
      <c r="O29" s="47">
        <f>'CF_Продажа'!O17*'Вводные'!$B$57+IF(AND('CF_Продажа'!O25&gt;0,'CF_Продажа'!N27=0),'CF_Продажа'!$B$25*'Вводные'!$B$58,0)+IF(AND('CF_Продажа'!O26&gt;0,'CF_Продажа'!N28=0),'CF_Продажа'!$B$26*'Вводные'!$B$58,0)+IF(AND('CF_Продажа'!O27&gt;0,'СРОКИ'!O10&lt;'СРОКИ'!$B$5),('CF_Продажа'!$B$25-'CF_Продажа'!O27)*'Вводные'!$B$59/12,0)+IF(AND('CF_Продажа'!O28&gt;0,'СРОКИ'!O10&lt;='СРОКИ'!$B$6),('CF_Продажа'!$B$26-'CF_Продажа'!O28)*'Вводные'!$B$59/12,0)</f>
        <v/>
      </c>
      <c r="P29" s="47">
        <f>'CF_Продажа'!P17*'Вводные'!$B$57+IF(AND('CF_Продажа'!P25&gt;0,'CF_Продажа'!O27=0),'CF_Продажа'!$B$25*'Вводные'!$B$58,0)+IF(AND('CF_Продажа'!P26&gt;0,'CF_Продажа'!O28=0),'CF_Продажа'!$B$26*'Вводные'!$B$58,0)+IF(AND('CF_Продажа'!P27&gt;0,'СРОКИ'!P10&lt;'СРОКИ'!$B$5),('CF_Продажа'!$B$25-'CF_Продажа'!P27)*'Вводные'!$B$59/12,0)+IF(AND('CF_Продажа'!P28&gt;0,'СРОКИ'!P10&lt;='СРОКИ'!$B$6),('CF_Продажа'!$B$26-'CF_Продажа'!P28)*'Вводные'!$B$59/12,0)</f>
        <v/>
      </c>
      <c r="Q29" s="47">
        <f>'CF_Продажа'!Q17*'Вводные'!$B$57+IF(AND('CF_Продажа'!Q25&gt;0,'CF_Продажа'!P27=0),'CF_Продажа'!$B$25*'Вводные'!$B$58,0)+IF(AND('CF_Продажа'!Q26&gt;0,'CF_Продажа'!P28=0),'CF_Продажа'!$B$26*'Вводные'!$B$58,0)+IF(AND('CF_Продажа'!Q27&gt;0,'СРОКИ'!Q10&lt;'СРОКИ'!$B$5),('CF_Продажа'!$B$25-'CF_Продажа'!Q27)*'Вводные'!$B$59/12,0)+IF(AND('CF_Продажа'!Q28&gt;0,'СРОКИ'!Q10&lt;='СРОКИ'!$B$6),('CF_Продажа'!$B$26-'CF_Продажа'!Q28)*'Вводные'!$B$59/12,0)</f>
        <v/>
      </c>
      <c r="R29" s="47">
        <f>'CF_Продажа'!R17*'Вводные'!$B$57+IF(AND('CF_Продажа'!R25&gt;0,'CF_Продажа'!Q27=0),'CF_Продажа'!$B$25*'Вводные'!$B$58,0)+IF(AND('CF_Продажа'!R26&gt;0,'CF_Продажа'!Q28=0),'CF_Продажа'!$B$26*'Вводные'!$B$58,0)+IF(AND('CF_Продажа'!R27&gt;0,'СРОКИ'!R10&lt;'СРОКИ'!$B$5),('CF_Продажа'!$B$25-'CF_Продажа'!R27)*'Вводные'!$B$59/12,0)+IF(AND('CF_Продажа'!R28&gt;0,'СРОКИ'!R10&lt;='СРОКИ'!$B$6),('CF_Продажа'!$B$26-'CF_Продажа'!R28)*'Вводные'!$B$59/12,0)</f>
        <v/>
      </c>
      <c r="S29" s="47">
        <f>'CF_Продажа'!S17*'Вводные'!$B$57+IF(AND('CF_Продажа'!S25&gt;0,'CF_Продажа'!R27=0),'CF_Продажа'!$B$25*'Вводные'!$B$58,0)+IF(AND('CF_Продажа'!S26&gt;0,'CF_Продажа'!R28=0),'CF_Продажа'!$B$26*'Вводные'!$B$58,0)+IF(AND('CF_Продажа'!S27&gt;0,'СРОКИ'!S10&lt;'СРОКИ'!$B$5),('CF_Продажа'!$B$25-'CF_Продажа'!S27)*'Вводные'!$B$59/12,0)+IF(AND('CF_Продажа'!S28&gt;0,'СРОКИ'!S10&lt;='СРОКИ'!$B$6),('CF_Продажа'!$B$26-'CF_Продажа'!S28)*'Вводные'!$B$59/12,0)</f>
        <v/>
      </c>
      <c r="T29" s="47">
        <f>'CF_Продажа'!T17*'Вводные'!$B$57+IF(AND('CF_Продажа'!T25&gt;0,'CF_Продажа'!S27=0),'CF_Продажа'!$B$25*'Вводные'!$B$58,0)+IF(AND('CF_Продажа'!T26&gt;0,'CF_Продажа'!S28=0),'CF_Продажа'!$B$26*'Вводные'!$B$58,0)+IF(AND('CF_Продажа'!T27&gt;0,'СРОКИ'!T10&lt;'СРОКИ'!$B$5),('CF_Продажа'!$B$25-'CF_Продажа'!T27)*'Вводные'!$B$59/12,0)+IF(AND('CF_Продажа'!T28&gt;0,'СРОКИ'!T10&lt;='СРОКИ'!$B$6),('CF_Продажа'!$B$26-'CF_Продажа'!T28)*'Вводные'!$B$59/12,0)</f>
        <v/>
      </c>
      <c r="U29" s="47">
        <f>'CF_Продажа'!U17*'Вводные'!$B$57+IF(AND('CF_Продажа'!U25&gt;0,'CF_Продажа'!T27=0),'CF_Продажа'!$B$25*'Вводные'!$B$58,0)+IF(AND('CF_Продажа'!U26&gt;0,'CF_Продажа'!T28=0),'CF_Продажа'!$B$26*'Вводные'!$B$58,0)+IF(AND('CF_Продажа'!U27&gt;0,'СРОКИ'!U10&lt;'СРОКИ'!$B$5),('CF_Продажа'!$B$25-'CF_Продажа'!U27)*'Вводные'!$B$59/12,0)+IF(AND('CF_Продажа'!U28&gt;0,'СРОКИ'!U10&lt;='СРОКИ'!$B$6),('CF_Продажа'!$B$26-'CF_Продажа'!U28)*'Вводные'!$B$59/12,0)</f>
        <v/>
      </c>
      <c r="V29" s="47">
        <f>'CF_Продажа'!V17*'Вводные'!$B$57+IF(AND('CF_Продажа'!V25&gt;0,'CF_Продажа'!U27=0),'CF_Продажа'!$B$25*'Вводные'!$B$58,0)+IF(AND('CF_Продажа'!V26&gt;0,'CF_Продажа'!U28=0),'CF_Продажа'!$B$26*'Вводные'!$B$58,0)+IF(AND('CF_Продажа'!V27&gt;0,'СРОКИ'!V10&lt;'СРОКИ'!$B$5),('CF_Продажа'!$B$25-'CF_Продажа'!V27)*'Вводные'!$B$59/12,0)+IF(AND('CF_Продажа'!V28&gt;0,'СРОКИ'!V10&lt;='СРОКИ'!$B$6),('CF_Продажа'!$B$26-'CF_Продажа'!V28)*'Вводные'!$B$59/12,0)</f>
        <v/>
      </c>
      <c r="W29" s="47">
        <f>'CF_Продажа'!W17*'Вводные'!$B$57+IF(AND('CF_Продажа'!W25&gt;0,'CF_Продажа'!V27=0),'CF_Продажа'!$B$25*'Вводные'!$B$58,0)+IF(AND('CF_Продажа'!W26&gt;0,'CF_Продажа'!V28=0),'CF_Продажа'!$B$26*'Вводные'!$B$58,0)+IF(AND('CF_Продажа'!W27&gt;0,'СРОКИ'!W10&lt;'СРОКИ'!$B$5),('CF_Продажа'!$B$25-'CF_Продажа'!W27)*'Вводные'!$B$59/12,0)+IF(AND('CF_Продажа'!W28&gt;0,'СРОКИ'!W10&lt;='СРОКИ'!$B$6),('CF_Продажа'!$B$26-'CF_Продажа'!W28)*'Вводные'!$B$59/12,0)</f>
        <v/>
      </c>
      <c r="X29" s="47">
        <f>'CF_Продажа'!X17*'Вводные'!$B$57+IF(AND('CF_Продажа'!X25&gt;0,'CF_Продажа'!W27=0),'CF_Продажа'!$B$25*'Вводные'!$B$58,0)+IF(AND('CF_Продажа'!X26&gt;0,'CF_Продажа'!W28=0),'CF_Продажа'!$B$26*'Вводные'!$B$58,0)+IF(AND('CF_Продажа'!X27&gt;0,'СРОКИ'!X10&lt;'СРОКИ'!$B$5),('CF_Продажа'!$B$25-'CF_Продажа'!X27)*'Вводные'!$B$59/12,0)+IF(AND('CF_Продажа'!X28&gt;0,'СРОКИ'!X10&lt;='СРОКИ'!$B$6),('CF_Продажа'!$B$26-'CF_Продажа'!X28)*'Вводные'!$B$59/12,0)</f>
        <v/>
      </c>
      <c r="Y29" s="47">
        <f>'CF_Продажа'!Y17*'Вводные'!$B$57+IF(AND('CF_Продажа'!Y25&gt;0,'CF_Продажа'!X27=0),'CF_Продажа'!$B$25*'Вводные'!$B$58,0)+IF(AND('CF_Продажа'!Y26&gt;0,'CF_Продажа'!X28=0),'CF_Продажа'!$B$26*'Вводные'!$B$58,0)+IF(AND('CF_Продажа'!Y27&gt;0,'СРОКИ'!Y10&lt;'СРОКИ'!$B$5),('CF_Продажа'!$B$25-'CF_Продажа'!Y27)*'Вводные'!$B$59/12,0)+IF(AND('CF_Продажа'!Y28&gt;0,'СРОКИ'!Y10&lt;='СРОКИ'!$B$6),('CF_Продажа'!$B$26-'CF_Продажа'!Y28)*'Вводные'!$B$59/12,0)</f>
        <v/>
      </c>
      <c r="Z29" s="47">
        <f>'CF_Продажа'!Z17*'Вводные'!$B$57+IF(AND('CF_Продажа'!Z25&gt;0,'CF_Продажа'!Y27=0),'CF_Продажа'!$B$25*'Вводные'!$B$58,0)+IF(AND('CF_Продажа'!Z26&gt;0,'CF_Продажа'!Y28=0),'CF_Продажа'!$B$26*'Вводные'!$B$58,0)+IF(AND('CF_Продажа'!Z27&gt;0,'СРОКИ'!Z10&lt;'СРОКИ'!$B$5),('CF_Продажа'!$B$25-'CF_Продажа'!Z27)*'Вводные'!$B$59/12,0)+IF(AND('CF_Продажа'!Z28&gt;0,'СРОКИ'!Z10&lt;='СРОКИ'!$B$6),('CF_Продажа'!$B$26-'CF_Продажа'!Z28)*'Вводные'!$B$59/12,0)</f>
        <v/>
      </c>
      <c r="AA29" s="47">
        <f>'CF_Продажа'!AA17*'Вводные'!$B$57+IF(AND('CF_Продажа'!AA25&gt;0,'CF_Продажа'!Z27=0),'CF_Продажа'!$B$25*'Вводные'!$B$58,0)+IF(AND('CF_Продажа'!AA26&gt;0,'CF_Продажа'!Z28=0),'CF_Продажа'!$B$26*'Вводные'!$B$58,0)+IF(AND('CF_Продажа'!AA27&gt;0,'СРОКИ'!AA10&lt;'СРОКИ'!$B$5),('CF_Продажа'!$B$25-'CF_Продажа'!AA27)*'Вводные'!$B$59/12,0)+IF(AND('CF_Продажа'!AA28&gt;0,'СРОКИ'!AA10&lt;='СРОКИ'!$B$6),('CF_Продажа'!$B$26-'CF_Продажа'!AA28)*'Вводные'!$B$59/12,0)</f>
        <v/>
      </c>
      <c r="AB29" s="47">
        <f>'CF_Продажа'!AB17*'Вводные'!$B$57+IF(AND('CF_Продажа'!AB25&gt;0,'CF_Продажа'!AA27=0),'CF_Продажа'!$B$25*'Вводные'!$B$58,0)+IF(AND('CF_Продажа'!AB26&gt;0,'CF_Продажа'!AA28=0),'CF_Продажа'!$B$26*'Вводные'!$B$58,0)+IF(AND('CF_Продажа'!AB27&gt;0,'СРОКИ'!AB10&lt;'СРОКИ'!$B$5),('CF_Продажа'!$B$25-'CF_Продажа'!AB27)*'Вводные'!$B$59/12,0)+IF(AND('CF_Продажа'!AB28&gt;0,'СРОКИ'!AB10&lt;='СРОКИ'!$B$6),('CF_Продажа'!$B$26-'CF_Продажа'!AB28)*'Вводные'!$B$59/12,0)</f>
        <v/>
      </c>
      <c r="AC29" s="47">
        <f>'CF_Продажа'!AC17*'Вводные'!$B$57+IF(AND('CF_Продажа'!AC25&gt;0,'CF_Продажа'!AB27=0),'CF_Продажа'!$B$25*'Вводные'!$B$58,0)+IF(AND('CF_Продажа'!AC26&gt;0,'CF_Продажа'!AB28=0),'CF_Продажа'!$B$26*'Вводные'!$B$58,0)+IF(AND('CF_Продажа'!AC27&gt;0,'СРОКИ'!AC10&lt;'СРОКИ'!$B$5),('CF_Продажа'!$B$25-'CF_Продажа'!AC27)*'Вводные'!$B$59/12,0)+IF(AND('CF_Продажа'!AC28&gt;0,'СРОКИ'!AC10&lt;='СРОКИ'!$B$6),('CF_Продажа'!$B$26-'CF_Продажа'!AC28)*'Вводные'!$B$59/12,0)</f>
        <v/>
      </c>
      <c r="AD29" s="47">
        <f>'CF_Продажа'!AD17*'Вводные'!$B$57+IF(AND('CF_Продажа'!AD25&gt;0,'CF_Продажа'!AC27=0),'CF_Продажа'!$B$25*'Вводные'!$B$58,0)+IF(AND('CF_Продажа'!AD26&gt;0,'CF_Продажа'!AC28=0),'CF_Продажа'!$B$26*'Вводные'!$B$58,0)+IF(AND('CF_Продажа'!AD27&gt;0,'СРОКИ'!AD10&lt;'СРОКИ'!$B$5),('CF_Продажа'!$B$25-'CF_Продажа'!AD27)*'Вводные'!$B$59/12,0)+IF(AND('CF_Продажа'!AD28&gt;0,'СРОКИ'!AD10&lt;='СРОКИ'!$B$6),('CF_Продажа'!$B$26-'CF_Продажа'!AD28)*'Вводные'!$B$59/12,0)</f>
        <v/>
      </c>
      <c r="AE29" s="47">
        <f>'CF_Продажа'!AE17*'Вводные'!$B$57+IF(AND('CF_Продажа'!AE25&gt;0,'CF_Продажа'!AD27=0),'CF_Продажа'!$B$25*'Вводные'!$B$58,0)+IF(AND('CF_Продажа'!AE26&gt;0,'CF_Продажа'!AD28=0),'CF_Продажа'!$B$26*'Вводные'!$B$58,0)+IF(AND('CF_Продажа'!AE27&gt;0,'СРОКИ'!AE10&lt;'СРОКИ'!$B$5),('CF_Продажа'!$B$25-'CF_Продажа'!AE27)*'Вводные'!$B$59/12,0)+IF(AND('CF_Продажа'!AE28&gt;0,'СРОКИ'!AE10&lt;='СРОКИ'!$B$6),('CF_Продажа'!$B$26-'CF_Продажа'!AE28)*'Вводные'!$B$59/12,0)</f>
        <v/>
      </c>
      <c r="AF29" s="47">
        <f>'CF_Продажа'!AF17*'Вводные'!$B$57+IF(AND('CF_Продажа'!AF25&gt;0,'CF_Продажа'!AE27=0),'CF_Продажа'!$B$25*'Вводные'!$B$58,0)+IF(AND('CF_Продажа'!AF26&gt;0,'CF_Продажа'!AE28=0),'CF_Продажа'!$B$26*'Вводные'!$B$58,0)+IF(AND('CF_Продажа'!AF27&gt;0,'СРОКИ'!AF10&lt;'СРОКИ'!$B$5),('CF_Продажа'!$B$25-'CF_Продажа'!AF27)*'Вводные'!$B$59/12,0)+IF(AND('CF_Продажа'!AF28&gt;0,'СРОКИ'!AF10&lt;='СРОКИ'!$B$6),('CF_Продажа'!$B$26-'CF_Продажа'!AF28)*'Вводные'!$B$59/12,0)</f>
        <v/>
      </c>
      <c r="AG29" s="47">
        <f>'CF_Продажа'!AG17*'Вводные'!$B$57+IF(AND('CF_Продажа'!AG25&gt;0,'CF_Продажа'!AF27=0),'CF_Продажа'!$B$25*'Вводные'!$B$58,0)+IF(AND('CF_Продажа'!AG26&gt;0,'CF_Продажа'!AF28=0),'CF_Продажа'!$B$26*'Вводные'!$B$58,0)+IF(AND('CF_Продажа'!AG27&gt;0,'СРОКИ'!AG10&lt;'СРОКИ'!$B$5),('CF_Продажа'!$B$25-'CF_Продажа'!AG27)*'Вводные'!$B$59/12,0)+IF(AND('CF_Продажа'!AG28&gt;0,'СРОКИ'!AG10&lt;='СРОКИ'!$B$6),('CF_Продажа'!$B$26-'CF_Продажа'!AG28)*'Вводные'!$B$59/12,0)</f>
        <v/>
      </c>
      <c r="AH29" s="47">
        <f>'CF_Продажа'!AH17*'Вводные'!$B$57+IF(AND('CF_Продажа'!AH25&gt;0,'CF_Продажа'!AG27=0),'CF_Продажа'!$B$25*'Вводные'!$B$58,0)+IF(AND('CF_Продажа'!AH26&gt;0,'CF_Продажа'!AG28=0),'CF_Продажа'!$B$26*'Вводные'!$B$58,0)+IF(AND('CF_Продажа'!AH27&gt;0,'СРОКИ'!AH10&lt;'СРОКИ'!$B$5),('CF_Продажа'!$B$25-'CF_Продажа'!AH27)*'Вводные'!$B$59/12,0)+IF(AND('CF_Продажа'!AH28&gt;0,'СРОКИ'!AH10&lt;='СРОКИ'!$B$6),('CF_Продажа'!$B$26-'CF_Продажа'!AH28)*'Вводные'!$B$59/12,0)</f>
        <v/>
      </c>
      <c r="AI29" s="47">
        <f>'CF_Продажа'!AI17*'Вводные'!$B$57+IF(AND('CF_Продажа'!AI25&gt;0,'CF_Продажа'!AH27=0),'CF_Продажа'!$B$25*'Вводные'!$B$58,0)+IF(AND('CF_Продажа'!AI26&gt;0,'CF_Продажа'!AH28=0),'CF_Продажа'!$B$26*'Вводные'!$B$58,0)+IF(AND('CF_Продажа'!AI27&gt;0,'СРОКИ'!AI10&lt;'СРОКИ'!$B$5),('CF_Продажа'!$B$25-'CF_Продажа'!AI27)*'Вводные'!$B$59/12,0)+IF(AND('CF_Продажа'!AI28&gt;0,'СРОКИ'!AI10&lt;='СРОКИ'!$B$6),('CF_Продажа'!$B$26-'CF_Продажа'!AI28)*'Вводные'!$B$59/12,0)</f>
        <v/>
      </c>
      <c r="AJ29" s="47">
        <f>'CF_Продажа'!AJ17*'Вводные'!$B$57+IF(AND('CF_Продажа'!AJ25&gt;0,'CF_Продажа'!AI27=0),'CF_Продажа'!$B$25*'Вводные'!$B$58,0)+IF(AND('CF_Продажа'!AJ26&gt;0,'CF_Продажа'!AI28=0),'CF_Продажа'!$B$26*'Вводные'!$B$58,0)+IF(AND('CF_Продажа'!AJ27&gt;0,'СРОКИ'!AJ10&lt;'СРОКИ'!$B$5),('CF_Продажа'!$B$25-'CF_Продажа'!AJ27)*'Вводные'!$B$59/12,0)+IF(AND('CF_Продажа'!AJ28&gt;0,'СРОКИ'!AJ10&lt;='СРОКИ'!$B$6),('CF_Продажа'!$B$26-'CF_Продажа'!AJ28)*'Вводные'!$B$59/12,0)</f>
        <v/>
      </c>
      <c r="AK29" s="47">
        <f>'CF_Продажа'!AK17*'Вводные'!$B$57+IF(AND('CF_Продажа'!AK25&gt;0,'CF_Продажа'!AJ27=0),'CF_Продажа'!$B$25*'Вводные'!$B$58,0)+IF(AND('CF_Продажа'!AK26&gt;0,'CF_Продажа'!AJ28=0),'CF_Продажа'!$B$26*'Вводные'!$B$58,0)+IF(AND('CF_Продажа'!AK27&gt;0,'СРОКИ'!AK10&lt;'СРОКИ'!$B$5),('CF_Продажа'!$B$25-'CF_Продажа'!AK27)*'Вводные'!$B$59/12,0)+IF(AND('CF_Продажа'!AK28&gt;0,'СРОКИ'!AK10&lt;='СРОКИ'!$B$6),('CF_Продажа'!$B$26-'CF_Продажа'!AK28)*'Вводные'!$B$59/12,0)</f>
        <v/>
      </c>
      <c r="AL29" s="47">
        <f>'CF_Продажа'!AL17*'Вводные'!$B$57+IF(AND('CF_Продажа'!AL25&gt;0,'CF_Продажа'!AK27=0),'CF_Продажа'!$B$25*'Вводные'!$B$58,0)+IF(AND('CF_Продажа'!AL26&gt;0,'CF_Продажа'!AK28=0),'CF_Продажа'!$B$26*'Вводные'!$B$58,0)+IF(AND('CF_Продажа'!AL27&gt;0,'СРОКИ'!AL10&lt;'СРОКИ'!$B$5),('CF_Продажа'!$B$25-'CF_Продажа'!AL27)*'Вводные'!$B$59/12,0)+IF(AND('CF_Продажа'!AL28&gt;0,'СРОКИ'!AL10&lt;='СРОКИ'!$B$6),('CF_Продажа'!$B$26-'CF_Продажа'!AL28)*'Вводные'!$B$59/12,0)</f>
        <v/>
      </c>
      <c r="AM29" s="47">
        <f>'CF_Продажа'!AM17*'Вводные'!$B$57+IF(AND('CF_Продажа'!AM25&gt;0,'CF_Продажа'!AL27=0),'CF_Продажа'!$B$25*'Вводные'!$B$58,0)+IF(AND('CF_Продажа'!AM26&gt;0,'CF_Продажа'!AL28=0),'CF_Продажа'!$B$26*'Вводные'!$B$58,0)+IF(AND('CF_Продажа'!AM27&gt;0,'СРОКИ'!AM10&lt;'СРОКИ'!$B$5),('CF_Продажа'!$B$25-'CF_Продажа'!AM27)*'Вводные'!$B$59/12,0)+IF(AND('CF_Продажа'!AM28&gt;0,'СРОКИ'!AM10&lt;='СРОКИ'!$B$6),('CF_Продажа'!$B$26-'CF_Продажа'!AM28)*'Вводные'!$B$59/12,0)</f>
        <v/>
      </c>
      <c r="AN29" s="47">
        <f>'CF_Продажа'!AN17*'Вводные'!$B$57+IF(AND('CF_Продажа'!AN25&gt;0,'CF_Продажа'!AM27=0),'CF_Продажа'!$B$25*'Вводные'!$B$58,0)+IF(AND('CF_Продажа'!AN26&gt;0,'CF_Продажа'!AM28=0),'CF_Продажа'!$B$26*'Вводные'!$B$58,0)+IF(AND('CF_Продажа'!AN27&gt;0,'СРОКИ'!AN10&lt;'СРОКИ'!$B$5),('CF_Продажа'!$B$25-'CF_Продажа'!AN27)*'Вводные'!$B$59/12,0)+IF(AND('CF_Продажа'!AN28&gt;0,'СРОКИ'!AN10&lt;='СРОКИ'!$B$6),('CF_Продажа'!$B$26-'CF_Продажа'!AN28)*'Вводные'!$B$59/12,0)</f>
        <v/>
      </c>
      <c r="AO29" s="47">
        <f>'CF_Продажа'!AO17*'Вводные'!$B$57+IF(AND('CF_Продажа'!AO25&gt;0,'CF_Продажа'!AN27=0),'CF_Продажа'!$B$25*'Вводные'!$B$58,0)+IF(AND('CF_Продажа'!AO26&gt;0,'CF_Продажа'!AN28=0),'CF_Продажа'!$B$26*'Вводные'!$B$58,0)+IF(AND('CF_Продажа'!AO27&gt;0,'СРОКИ'!AO10&lt;'СРОКИ'!$B$5),('CF_Продажа'!$B$25-'CF_Продажа'!AO27)*'Вводные'!$B$59/12,0)+IF(AND('CF_Продажа'!AO28&gt;0,'СРОКИ'!AO10&lt;='СРОКИ'!$B$6),('CF_Продажа'!$B$26-'CF_Продажа'!AO28)*'Вводные'!$B$59/12,0)</f>
        <v/>
      </c>
      <c r="AP29" s="47">
        <f>'CF_Продажа'!AP17*'Вводные'!$B$57+IF(AND('CF_Продажа'!AP25&gt;0,'CF_Продажа'!AO27=0),'CF_Продажа'!$B$25*'Вводные'!$B$58,0)+IF(AND('CF_Продажа'!AP26&gt;0,'CF_Продажа'!AO28=0),'CF_Продажа'!$B$26*'Вводные'!$B$58,0)+IF(AND('CF_Продажа'!AP27&gt;0,'СРОКИ'!AP10&lt;'СРОКИ'!$B$5),('CF_Продажа'!$B$25-'CF_Продажа'!AP27)*'Вводные'!$B$59/12,0)+IF(AND('CF_Продажа'!AP28&gt;0,'СРОКИ'!AP10&lt;='СРОКИ'!$B$6),('CF_Продажа'!$B$26-'CF_Продажа'!AP28)*'Вводные'!$B$59/12,0)</f>
        <v/>
      </c>
      <c r="AQ29" s="47">
        <f>'CF_Продажа'!AQ17*'Вводные'!$B$57+IF(AND('CF_Продажа'!AQ25&gt;0,'CF_Продажа'!AP27=0),'CF_Продажа'!$B$25*'Вводные'!$B$58,0)+IF(AND('CF_Продажа'!AQ26&gt;0,'CF_Продажа'!AP28=0),'CF_Продажа'!$B$26*'Вводные'!$B$58,0)+IF(AND('CF_Продажа'!AQ27&gt;0,'СРОКИ'!AQ10&lt;'СРОКИ'!$B$5),('CF_Продажа'!$B$25-'CF_Продажа'!AQ27)*'Вводные'!$B$59/12,0)+IF(AND('CF_Продажа'!AQ28&gt;0,'СРОКИ'!AQ10&lt;='СРОКИ'!$B$6),('CF_Продажа'!$B$26-'CF_Продажа'!AQ28)*'Вводные'!$B$59/12,0)</f>
        <v/>
      </c>
      <c r="AR29" s="47">
        <f>'CF_Продажа'!AR17*'Вводные'!$B$57+IF(AND('CF_Продажа'!AR25&gt;0,'CF_Продажа'!AQ27=0),'CF_Продажа'!$B$25*'Вводные'!$B$58,0)+IF(AND('CF_Продажа'!AR26&gt;0,'CF_Продажа'!AQ28=0),'CF_Продажа'!$B$26*'Вводные'!$B$58,0)+IF(AND('CF_Продажа'!AR27&gt;0,'СРОКИ'!AR10&lt;'СРОКИ'!$B$5),('CF_Продажа'!$B$25-'CF_Продажа'!AR27)*'Вводные'!$B$59/12,0)+IF(AND('CF_Продажа'!AR28&gt;0,'СРОКИ'!AR10&lt;='СРОКИ'!$B$6),('CF_Продажа'!$B$26-'CF_Продажа'!AR28)*'Вводные'!$B$59/12,0)</f>
        <v/>
      </c>
      <c r="AS29" s="47">
        <f>'CF_Продажа'!AS17*'Вводные'!$B$57+IF(AND('CF_Продажа'!AS25&gt;0,'CF_Продажа'!AR27=0),'CF_Продажа'!$B$25*'Вводные'!$B$58,0)+IF(AND('CF_Продажа'!AS26&gt;0,'CF_Продажа'!AR28=0),'CF_Продажа'!$B$26*'Вводные'!$B$58,0)+IF(AND('CF_Продажа'!AS27&gt;0,'СРОКИ'!AS10&lt;'СРОКИ'!$B$5),('CF_Продажа'!$B$25-'CF_Продажа'!AS27)*'Вводные'!$B$59/12,0)+IF(AND('CF_Продажа'!AS28&gt;0,'СРОКИ'!AS10&lt;='СРОКИ'!$B$6),('CF_Продажа'!$B$26-'CF_Продажа'!AS28)*'Вводные'!$B$59/12,0)</f>
        <v/>
      </c>
      <c r="AT29" s="47">
        <f>'CF_Продажа'!AT17*'Вводные'!$B$57+IF(AND('CF_Продажа'!AT25&gt;0,'CF_Продажа'!AS27=0),'CF_Продажа'!$B$25*'Вводные'!$B$58,0)+IF(AND('CF_Продажа'!AT26&gt;0,'CF_Продажа'!AS28=0),'CF_Продажа'!$B$26*'Вводные'!$B$58,0)+IF(AND('CF_Продажа'!AT27&gt;0,'СРОКИ'!AT10&lt;'СРОКИ'!$B$5),('CF_Продажа'!$B$25-'CF_Продажа'!AT27)*'Вводные'!$B$59/12,0)+IF(AND('CF_Продажа'!AT28&gt;0,'СРОКИ'!AT10&lt;='СРОКИ'!$B$6),('CF_Продажа'!$B$26-'CF_Продажа'!AT28)*'Вводные'!$B$59/12,0)</f>
        <v/>
      </c>
      <c r="AU29" s="47">
        <f>'CF_Продажа'!AU17*'Вводные'!$B$57+IF(AND('CF_Продажа'!AU25&gt;0,'CF_Продажа'!AT27=0),'CF_Продажа'!$B$25*'Вводные'!$B$58,0)+IF(AND('CF_Продажа'!AU26&gt;0,'CF_Продажа'!AT28=0),'CF_Продажа'!$B$26*'Вводные'!$B$58,0)+IF(AND('CF_Продажа'!AU27&gt;0,'СРОКИ'!AU10&lt;'СРОКИ'!$B$5),('CF_Продажа'!$B$25-'CF_Продажа'!AU27)*'Вводные'!$B$59/12,0)+IF(AND('CF_Продажа'!AU28&gt;0,'СРОКИ'!AU10&lt;='СРОКИ'!$B$6),('CF_Продажа'!$B$26-'CF_Продажа'!AU28)*'Вводные'!$B$59/12,0)</f>
        <v/>
      </c>
      <c r="AV29" s="47">
        <f>'CF_Продажа'!AV17*'Вводные'!$B$57+IF(AND('CF_Продажа'!AV25&gt;0,'CF_Продажа'!AU27=0),'CF_Продажа'!$B$25*'Вводные'!$B$58,0)+IF(AND('CF_Продажа'!AV26&gt;0,'CF_Продажа'!AU28=0),'CF_Продажа'!$B$26*'Вводные'!$B$58,0)+IF(AND('CF_Продажа'!AV27&gt;0,'СРОКИ'!AV10&lt;'СРОКИ'!$B$5),('CF_Продажа'!$B$25-'CF_Продажа'!AV27)*'Вводные'!$B$59/12,0)+IF(AND('CF_Продажа'!AV28&gt;0,'СРОКИ'!AV10&lt;='СРОКИ'!$B$6),('CF_Продажа'!$B$26-'CF_Продажа'!AV28)*'Вводные'!$B$59/12,0)</f>
        <v/>
      </c>
      <c r="AW29" s="47">
        <f>'CF_Продажа'!AW17*'Вводные'!$B$57+IF(AND('CF_Продажа'!AW25&gt;0,'CF_Продажа'!AV27=0),'CF_Продажа'!$B$25*'Вводные'!$B$58,0)+IF(AND('CF_Продажа'!AW26&gt;0,'CF_Продажа'!AV28=0),'CF_Продажа'!$B$26*'Вводные'!$B$58,0)+IF(AND('CF_Продажа'!AW27&gt;0,'СРОКИ'!AW10&lt;'СРОКИ'!$B$5),('CF_Продажа'!$B$25-'CF_Продажа'!AW27)*'Вводные'!$B$59/12,0)+IF(AND('CF_Продажа'!AW28&gt;0,'СРОКИ'!AW10&lt;='СРОКИ'!$B$6),('CF_Продажа'!$B$26-'CF_Продажа'!AW28)*'Вводные'!$B$59/12,0)</f>
        <v/>
      </c>
      <c r="AX29" s="47">
        <f>'CF_Продажа'!AX17*'Вводные'!$B$57+IF(AND('CF_Продажа'!AX25&gt;0,'CF_Продажа'!AW27=0),'CF_Продажа'!$B$25*'Вводные'!$B$58,0)+IF(AND('CF_Продажа'!AX26&gt;0,'CF_Продажа'!AW28=0),'CF_Продажа'!$B$26*'Вводные'!$B$58,0)+IF(AND('CF_Продажа'!AX27&gt;0,'СРОКИ'!AX10&lt;'СРОКИ'!$B$5),('CF_Продажа'!$B$25-'CF_Продажа'!AX27)*'Вводные'!$B$59/12,0)+IF(AND('CF_Продажа'!AX28&gt;0,'СРОКИ'!AX10&lt;='СРОКИ'!$B$6),('CF_Продажа'!$B$26-'CF_Продажа'!AX28)*'Вводные'!$B$59/12,0)</f>
        <v/>
      </c>
      <c r="AY29" s="47">
        <f>'CF_Продажа'!AY17*'Вводные'!$B$57+IF(AND('CF_Продажа'!AY25&gt;0,'CF_Продажа'!AX27=0),'CF_Продажа'!$B$25*'Вводные'!$B$58,0)+IF(AND('CF_Продажа'!AY26&gt;0,'CF_Продажа'!AX28=0),'CF_Продажа'!$B$26*'Вводные'!$B$58,0)+IF(AND('CF_Продажа'!AY27&gt;0,'СРОКИ'!AY10&lt;'СРОКИ'!$B$5),('CF_Продажа'!$B$25-'CF_Продажа'!AY27)*'Вводные'!$B$59/12,0)+IF(AND('CF_Продажа'!AY28&gt;0,'СРОКИ'!AY10&lt;='СРОКИ'!$B$6),('CF_Продажа'!$B$26-'CF_Продажа'!AY28)*'Вводные'!$B$59/12,0)</f>
        <v/>
      </c>
      <c r="AZ29" s="47">
        <f>'CF_Продажа'!AZ17*'Вводные'!$B$57+IF(AND('CF_Продажа'!AZ25&gt;0,'CF_Продажа'!AY27=0),'CF_Продажа'!$B$25*'Вводные'!$B$58,0)+IF(AND('CF_Продажа'!AZ26&gt;0,'CF_Продажа'!AY28=0),'CF_Продажа'!$B$26*'Вводные'!$B$58,0)+IF(AND('CF_Продажа'!AZ27&gt;0,'СРОКИ'!AZ10&lt;'СРОКИ'!$B$5),('CF_Продажа'!$B$25-'CF_Продажа'!AZ27)*'Вводные'!$B$59/12,0)+IF(AND('CF_Продажа'!AZ28&gt;0,'СРОКИ'!AZ10&lt;='СРОКИ'!$B$6),('CF_Продажа'!$B$26-'CF_Продажа'!AZ28)*'Вводные'!$B$59/12,0)</f>
        <v/>
      </c>
      <c r="BA29" s="47">
        <f>'CF_Продажа'!BA17*'Вводные'!$B$57+IF(AND('CF_Продажа'!BA25&gt;0,'CF_Продажа'!AZ27=0),'CF_Продажа'!$B$25*'Вводные'!$B$58,0)+IF(AND('CF_Продажа'!BA26&gt;0,'CF_Продажа'!AZ28=0),'CF_Продажа'!$B$26*'Вводные'!$B$58,0)+IF(AND('CF_Продажа'!BA27&gt;0,'СРОКИ'!BA10&lt;'СРОКИ'!$B$5),('CF_Продажа'!$B$25-'CF_Продажа'!BA27)*'Вводные'!$B$59/12,0)+IF(AND('CF_Продажа'!BA28&gt;0,'СРОКИ'!BA10&lt;='СРОКИ'!$B$6),('CF_Продажа'!$B$26-'CF_Продажа'!BA28)*'Вводные'!$B$59/12,0)</f>
        <v/>
      </c>
      <c r="BB29" s="47">
        <f>'CF_Продажа'!BB17*'Вводные'!$B$57+IF(AND('CF_Продажа'!BB25&gt;0,'CF_Продажа'!BA27=0),'CF_Продажа'!$B$25*'Вводные'!$B$58,0)+IF(AND('CF_Продажа'!BB26&gt;0,'CF_Продажа'!BA28=0),'CF_Продажа'!$B$26*'Вводные'!$B$58,0)+IF(AND('CF_Продажа'!BB27&gt;0,'СРОКИ'!BB10&lt;'СРОКИ'!$B$5),('CF_Продажа'!$B$25-'CF_Продажа'!BB27)*'Вводные'!$B$59/12,0)+IF(AND('CF_Продажа'!BB28&gt;0,'СРОКИ'!BB10&lt;='СРОКИ'!$B$6),('CF_Продажа'!$B$26-'CF_Продажа'!BB28)*'Вводные'!$B$59/12,0)</f>
        <v/>
      </c>
      <c r="BC29" s="47">
        <f>'CF_Продажа'!BC17*'Вводные'!$B$57+IF(AND('CF_Продажа'!BC25&gt;0,'CF_Продажа'!BB27=0),'CF_Продажа'!$B$25*'Вводные'!$B$58,0)+IF(AND('CF_Продажа'!BC26&gt;0,'CF_Продажа'!BB28=0),'CF_Продажа'!$B$26*'Вводные'!$B$58,0)+IF(AND('CF_Продажа'!BC27&gt;0,'СРОКИ'!BC10&lt;'СРОКИ'!$B$5),('CF_Продажа'!$B$25-'CF_Продажа'!BC27)*'Вводные'!$B$59/12,0)+IF(AND('CF_Продажа'!BC28&gt;0,'СРОКИ'!BC10&lt;='СРОКИ'!$B$6),('CF_Продажа'!$B$26-'CF_Продажа'!BC28)*'Вводные'!$B$59/12,0)</f>
        <v/>
      </c>
      <c r="BD29" s="47">
        <f>'CF_Продажа'!BD17*'Вводные'!$B$57+IF(AND('CF_Продажа'!BD25&gt;0,'CF_Продажа'!BC27=0),'CF_Продажа'!$B$25*'Вводные'!$B$58,0)+IF(AND('CF_Продажа'!BD26&gt;0,'CF_Продажа'!BC28=0),'CF_Продажа'!$B$26*'Вводные'!$B$58,0)+IF(AND('CF_Продажа'!BD27&gt;0,'СРОКИ'!BD10&lt;'СРОКИ'!$B$5),('CF_Продажа'!$B$25-'CF_Продажа'!BD27)*'Вводные'!$B$59/12,0)+IF(AND('CF_Продажа'!BD28&gt;0,'СРОКИ'!BD10&lt;='СРОКИ'!$B$6),('CF_Продажа'!$B$26-'CF_Продажа'!BD28)*'Вводные'!$B$59/12,0)</f>
        <v/>
      </c>
      <c r="BE29" s="47">
        <f>'CF_Продажа'!BE17*'Вводные'!$B$57+IF(AND('CF_Продажа'!BE25&gt;0,'CF_Продажа'!BD27=0),'CF_Продажа'!$B$25*'Вводные'!$B$58,0)+IF(AND('CF_Продажа'!BE26&gt;0,'CF_Продажа'!BD28=0),'CF_Продажа'!$B$26*'Вводные'!$B$58,0)+IF(AND('CF_Продажа'!BE27&gt;0,'СРОКИ'!BE10&lt;'СРОКИ'!$B$5),('CF_Продажа'!$B$25-'CF_Продажа'!BE27)*'Вводные'!$B$59/12,0)+IF(AND('CF_Продажа'!BE28&gt;0,'СРОКИ'!BE10&lt;='СРОКИ'!$B$6),('CF_Продажа'!$B$26-'CF_Продажа'!BE28)*'Вводные'!$B$59/12,0)</f>
        <v/>
      </c>
      <c r="BF29" s="47">
        <f>'CF_Продажа'!BF17*'Вводные'!$B$57+IF(AND('CF_Продажа'!BF25&gt;0,'CF_Продажа'!BE27=0),'CF_Продажа'!$B$25*'Вводные'!$B$58,0)+IF(AND('CF_Продажа'!BF26&gt;0,'CF_Продажа'!BE28=0),'CF_Продажа'!$B$26*'Вводные'!$B$58,0)+IF(AND('CF_Продажа'!BF27&gt;0,'СРОКИ'!BF10&lt;'СРОКИ'!$B$5),('CF_Продажа'!$B$25-'CF_Продажа'!BF27)*'Вводные'!$B$59/12,0)+IF(AND('CF_Продажа'!BF28&gt;0,'СРОКИ'!BF10&lt;='СРОКИ'!$B$6),('CF_Продажа'!$B$26-'CF_Продажа'!BF28)*'Вводные'!$B$59/12,0)</f>
        <v/>
      </c>
      <c r="BG29" s="47">
        <f>'CF_Продажа'!BG17*'Вводные'!$B$57+IF(AND('CF_Продажа'!BG25&gt;0,'CF_Продажа'!BF27=0),'CF_Продажа'!$B$25*'Вводные'!$B$58,0)+IF(AND('CF_Продажа'!BG26&gt;0,'CF_Продажа'!BF28=0),'CF_Продажа'!$B$26*'Вводные'!$B$58,0)+IF(AND('CF_Продажа'!BG27&gt;0,'СРОКИ'!BG10&lt;'СРОКИ'!$B$5),('CF_Продажа'!$B$25-'CF_Продажа'!BG27)*'Вводные'!$B$59/12,0)+IF(AND('CF_Продажа'!BG28&gt;0,'СРОКИ'!BG10&lt;='СРОКИ'!$B$6),('CF_Продажа'!$B$26-'CF_Продажа'!BG28)*'Вводные'!$B$59/12,0)</f>
        <v/>
      </c>
      <c r="BH29" s="47">
        <f>'CF_Продажа'!BH17*'Вводные'!$B$57+IF(AND('CF_Продажа'!BH25&gt;0,'CF_Продажа'!BG27=0),'CF_Продажа'!$B$25*'Вводные'!$B$58,0)+IF(AND('CF_Продажа'!BH26&gt;0,'CF_Продажа'!BG28=0),'CF_Продажа'!$B$26*'Вводные'!$B$58,0)+IF(AND('CF_Продажа'!BH27&gt;0,'СРОКИ'!BH10&lt;'СРОКИ'!$B$5),('CF_Продажа'!$B$25-'CF_Продажа'!BH27)*'Вводные'!$B$59/12,0)+IF(AND('CF_Продажа'!BH28&gt;0,'СРОКИ'!BH10&lt;='СРОКИ'!$B$6),('CF_Продажа'!$B$26-'CF_Продажа'!BH28)*'Вводные'!$B$59/12,0)</f>
        <v/>
      </c>
      <c r="BI29" s="47">
        <f>'CF_Продажа'!BI17*'Вводные'!$B$57+IF(AND('CF_Продажа'!BI25&gt;0,'CF_Продажа'!BH27=0),'CF_Продажа'!$B$25*'Вводные'!$B$58,0)+IF(AND('CF_Продажа'!BI26&gt;0,'CF_Продажа'!BH28=0),'CF_Продажа'!$B$26*'Вводные'!$B$58,0)+IF(AND('CF_Продажа'!BI27&gt;0,'СРОКИ'!BI10&lt;'СРОКИ'!$B$5),('CF_Продажа'!$B$25-'CF_Продажа'!BI27)*'Вводные'!$B$59/12,0)+IF(AND('CF_Продажа'!BI28&gt;0,'СРОКИ'!BI10&lt;='СРОКИ'!$B$6),('CF_Продажа'!$B$26-'CF_Продажа'!BI28)*'Вводные'!$B$59/12,0)</f>
        <v/>
      </c>
      <c r="BJ29" s="47">
        <f>'CF_Продажа'!BJ17*'Вводные'!$B$57+IF(AND('CF_Продажа'!BJ25&gt;0,'CF_Продажа'!BI27=0),'CF_Продажа'!$B$25*'Вводные'!$B$58,0)+IF(AND('CF_Продажа'!BJ26&gt;0,'CF_Продажа'!BI28=0),'CF_Продажа'!$B$26*'Вводные'!$B$58,0)+IF(AND('CF_Продажа'!BJ27&gt;0,'СРОКИ'!BJ10&lt;'СРОКИ'!$B$5),('CF_Продажа'!$B$25-'CF_Продажа'!BJ27)*'Вводные'!$B$59/12,0)+IF(AND('CF_Продажа'!BJ28&gt;0,'СРОКИ'!BJ10&lt;='СРОКИ'!$B$6),('CF_Продажа'!$B$26-'CF_Продажа'!BJ28)*'Вводные'!$B$59/12,0)</f>
        <v/>
      </c>
      <c r="BK29" s="47">
        <f>'CF_Продажа'!BK17*'Вводные'!$B$57+IF(AND('CF_Продажа'!BK25&gt;0,'CF_Продажа'!BJ27=0),'CF_Продажа'!$B$25*'Вводные'!$B$58,0)+IF(AND('CF_Продажа'!BK26&gt;0,'CF_Продажа'!BJ28=0),'CF_Продажа'!$B$26*'Вводные'!$B$58,0)+IF(AND('CF_Продажа'!BK27&gt;0,'СРОКИ'!BK10&lt;'СРОКИ'!$B$5),('CF_Продажа'!$B$25-'CF_Продажа'!BK27)*'Вводные'!$B$59/12,0)+IF(AND('CF_Продажа'!BK28&gt;0,'СРОКИ'!BK10&lt;='СРОКИ'!$B$6),('CF_Продажа'!$B$26-'CF_Продажа'!BK28)*'Вводные'!$B$59/12,0)</f>
        <v/>
      </c>
      <c r="BL29" s="47">
        <f>'CF_Продажа'!BL17*'Вводные'!$B$57+IF(AND('CF_Продажа'!BL25&gt;0,'CF_Продажа'!BK27=0),'CF_Продажа'!$B$25*'Вводные'!$B$58,0)+IF(AND('CF_Продажа'!BL26&gt;0,'CF_Продажа'!BK28=0),'CF_Продажа'!$B$26*'Вводные'!$B$58,0)+IF(AND('CF_Продажа'!BL27&gt;0,'СРОКИ'!BL10&lt;'СРОКИ'!$B$5),('CF_Продажа'!$B$25-'CF_Продажа'!BL27)*'Вводные'!$B$59/12,0)+IF(AND('CF_Продажа'!BL28&gt;0,'СРОКИ'!BL10&lt;='СРОКИ'!$B$6),('CF_Продажа'!$B$26-'CF_Продажа'!BL28)*'Вводные'!$B$59/12,0)</f>
        <v/>
      </c>
      <c r="BM29" s="47">
        <f>'CF_Продажа'!BM17*'Вводные'!$B$57+IF(AND('CF_Продажа'!BM25&gt;0,'CF_Продажа'!BL27=0),'CF_Продажа'!$B$25*'Вводные'!$B$58,0)+IF(AND('CF_Продажа'!BM26&gt;0,'CF_Продажа'!BL28=0),'CF_Продажа'!$B$26*'Вводные'!$B$58,0)+IF(AND('CF_Продажа'!BM27&gt;0,'СРОКИ'!BM10&lt;'СРОКИ'!$B$5),('CF_Продажа'!$B$25-'CF_Продажа'!BM27)*'Вводные'!$B$59/12,0)+IF(AND('CF_Продажа'!BM28&gt;0,'СРОКИ'!BM10&lt;='СРОКИ'!$B$6),('CF_Продажа'!$B$26-'CF_Продажа'!BM28)*'Вводные'!$B$59/12,0)</f>
        <v/>
      </c>
      <c r="BN29" s="47">
        <f>'CF_Продажа'!BN17*'Вводные'!$B$57+IF(AND('CF_Продажа'!BN25&gt;0,'CF_Продажа'!BM27=0),'CF_Продажа'!$B$25*'Вводные'!$B$58,0)+IF(AND('CF_Продажа'!BN26&gt;0,'CF_Продажа'!BM28=0),'CF_Продажа'!$B$26*'Вводные'!$B$58,0)+IF(AND('CF_Продажа'!BN27&gt;0,'СРОКИ'!BN10&lt;'СРОКИ'!$B$5),('CF_Продажа'!$B$25-'CF_Продажа'!BN27)*'Вводные'!$B$59/12,0)+IF(AND('CF_Продажа'!BN28&gt;0,'СРОКИ'!BN10&lt;='СРОКИ'!$B$6),('CF_Продажа'!$B$26-'CF_Продажа'!BN28)*'Вводные'!$B$59/12,0)</f>
        <v/>
      </c>
      <c r="BO29" s="47">
        <f>'CF_Продажа'!BO17*'Вводные'!$B$57+IF(AND('CF_Продажа'!BO25&gt;0,'CF_Продажа'!BN27=0),'CF_Продажа'!$B$25*'Вводные'!$B$58,0)+IF(AND('CF_Продажа'!BO26&gt;0,'CF_Продажа'!BN28=0),'CF_Продажа'!$B$26*'Вводные'!$B$58,0)+IF(AND('CF_Продажа'!BO27&gt;0,'СРОКИ'!BO10&lt;'СРОКИ'!$B$5),('CF_Продажа'!$B$25-'CF_Продажа'!BO27)*'Вводные'!$B$59/12,0)+IF(AND('CF_Продажа'!BO28&gt;0,'СРОКИ'!BO10&lt;='СРОКИ'!$B$6),('CF_Продажа'!$B$26-'CF_Продажа'!BO28)*'Вводные'!$B$59/12,0)</f>
        <v/>
      </c>
      <c r="BP29" s="47">
        <f>'CF_Продажа'!BP17*'Вводные'!$B$57+IF(AND('CF_Продажа'!BP25&gt;0,'CF_Продажа'!BO27=0),'CF_Продажа'!$B$25*'Вводные'!$B$58,0)+IF(AND('CF_Продажа'!BP26&gt;0,'CF_Продажа'!BO28=0),'CF_Продажа'!$B$26*'Вводные'!$B$58,0)+IF(AND('CF_Продажа'!BP27&gt;0,'СРОКИ'!BP10&lt;'СРОКИ'!$B$5),('CF_Продажа'!$B$25-'CF_Продажа'!BP27)*'Вводные'!$B$59/12,0)+IF(AND('CF_Продажа'!BP28&gt;0,'СРОКИ'!BP10&lt;='СРОКИ'!$B$6),('CF_Продажа'!$B$26-'CF_Продажа'!BP28)*'Вводные'!$B$59/12,0)</f>
        <v/>
      </c>
      <c r="BQ29" s="47">
        <f>'CF_Продажа'!BQ17*'Вводные'!$B$57+IF(AND('CF_Продажа'!BQ25&gt;0,'CF_Продажа'!BP27=0),'CF_Продажа'!$B$25*'Вводные'!$B$58,0)+IF(AND('CF_Продажа'!BQ26&gt;0,'CF_Продажа'!BP28=0),'CF_Продажа'!$B$26*'Вводные'!$B$58,0)+IF(AND('CF_Продажа'!BQ27&gt;0,'СРОКИ'!BQ10&lt;'СРОКИ'!$B$5),('CF_Продажа'!$B$25-'CF_Продажа'!BQ27)*'Вводные'!$B$59/12,0)+IF(AND('CF_Продажа'!BQ28&gt;0,'СРОКИ'!BQ10&lt;='СРОКИ'!$B$6),('CF_Продажа'!$B$26-'CF_Продажа'!BQ28)*'Вводные'!$B$59/12,0)</f>
        <v/>
      </c>
      <c r="BR29" s="47">
        <f>'CF_Продажа'!BR17*'Вводные'!$B$57+IF(AND('CF_Продажа'!BR25&gt;0,'CF_Продажа'!BQ27=0),'CF_Продажа'!$B$25*'Вводные'!$B$58,0)+IF(AND('CF_Продажа'!BR26&gt;0,'CF_Продажа'!BQ28=0),'CF_Продажа'!$B$26*'Вводные'!$B$58,0)+IF(AND('CF_Продажа'!BR27&gt;0,'СРОКИ'!BR10&lt;'СРОКИ'!$B$5),('CF_Продажа'!$B$25-'CF_Продажа'!BR27)*'Вводные'!$B$59/12,0)+IF(AND('CF_Продажа'!BR28&gt;0,'СРОКИ'!BR10&lt;='СРОКИ'!$B$6),('CF_Продажа'!$B$26-'CF_Продажа'!BR28)*'Вводные'!$B$59/12,0)</f>
        <v/>
      </c>
      <c r="BS29" s="47">
        <f>'CF_Продажа'!BS17*'Вводные'!$B$57+IF(AND('CF_Продажа'!BS25&gt;0,'CF_Продажа'!BR27=0),'CF_Продажа'!$B$25*'Вводные'!$B$58,0)+IF(AND('CF_Продажа'!BS26&gt;0,'CF_Продажа'!BR28=0),'CF_Продажа'!$B$26*'Вводные'!$B$58,0)+IF(AND('CF_Продажа'!BS27&gt;0,'СРОКИ'!BS10&lt;'СРОКИ'!$B$5),('CF_Продажа'!$B$25-'CF_Продажа'!BS27)*'Вводные'!$B$59/12,0)+IF(AND('CF_Продажа'!BS28&gt;0,'СРОКИ'!BS10&lt;='СРОКИ'!$B$6),('CF_Продажа'!$B$26-'CF_Продажа'!BS28)*'Вводные'!$B$59/12,0)</f>
        <v/>
      </c>
      <c r="BT29" s="47">
        <f>'CF_Продажа'!BT17*'Вводные'!$B$57+IF(AND('CF_Продажа'!BT25&gt;0,'CF_Продажа'!BS27=0),'CF_Продажа'!$B$25*'Вводные'!$B$58,0)+IF(AND('CF_Продажа'!BT26&gt;0,'CF_Продажа'!BS28=0),'CF_Продажа'!$B$26*'Вводные'!$B$58,0)+IF(AND('CF_Продажа'!BT27&gt;0,'СРОКИ'!BT10&lt;'СРОКИ'!$B$5),('CF_Продажа'!$B$25-'CF_Продажа'!BT27)*'Вводные'!$B$59/12,0)+IF(AND('CF_Продажа'!BT28&gt;0,'СРОКИ'!BT10&lt;='СРОКИ'!$B$6),('CF_Продажа'!$B$26-'CF_Продажа'!BT28)*'Вводные'!$B$59/12,0)</f>
        <v/>
      </c>
      <c r="BU29" s="47">
        <f>'CF_Продажа'!BU17*'Вводные'!$B$57+IF(AND('CF_Продажа'!BU25&gt;0,'CF_Продажа'!BT27=0),'CF_Продажа'!$B$25*'Вводные'!$B$58,0)+IF(AND('CF_Продажа'!BU26&gt;0,'CF_Продажа'!BT28=0),'CF_Продажа'!$B$26*'Вводные'!$B$58,0)+IF(AND('CF_Продажа'!BU27&gt;0,'СРОКИ'!BU10&lt;'СРОКИ'!$B$5),('CF_Продажа'!$B$25-'CF_Продажа'!BU27)*'Вводные'!$B$59/12,0)+IF(AND('CF_Продажа'!BU28&gt;0,'СРОКИ'!BU10&lt;='СРОКИ'!$B$6),('CF_Продажа'!$B$26-'CF_Продажа'!BU28)*'Вводные'!$B$59/12,0)</f>
        <v/>
      </c>
      <c r="BV29" s="47">
        <f>'CF_Продажа'!BV17*'Вводные'!$B$57+IF(AND('CF_Продажа'!BV25&gt;0,'CF_Продажа'!BU27=0),'CF_Продажа'!$B$25*'Вводные'!$B$58,0)+IF(AND('CF_Продажа'!BV26&gt;0,'CF_Продажа'!BU28=0),'CF_Продажа'!$B$26*'Вводные'!$B$58,0)+IF(AND('CF_Продажа'!BV27&gt;0,'СРОКИ'!BV10&lt;'СРОКИ'!$B$5),('CF_Продажа'!$B$25-'CF_Продажа'!BV27)*'Вводные'!$B$59/12,0)+IF(AND('CF_Продажа'!BV28&gt;0,'СРОКИ'!BV10&lt;='СРОКИ'!$B$6),('CF_Продажа'!$B$26-'CF_Продажа'!BV28)*'Вводные'!$B$59/12,0)</f>
        <v/>
      </c>
      <c r="BW29" s="47">
        <f>'CF_Продажа'!BW17*'Вводные'!$B$57+IF(AND('CF_Продажа'!BW25&gt;0,'CF_Продажа'!BV27=0),'CF_Продажа'!$B$25*'Вводные'!$B$58,0)+IF(AND('CF_Продажа'!BW26&gt;0,'CF_Продажа'!BV28=0),'CF_Продажа'!$B$26*'Вводные'!$B$58,0)+IF(AND('CF_Продажа'!BW27&gt;0,'СРОКИ'!BW10&lt;'СРОКИ'!$B$5),('CF_Продажа'!$B$25-'CF_Продажа'!BW27)*'Вводные'!$B$59/12,0)+IF(AND('CF_Продажа'!BW28&gt;0,'СРОКИ'!BW10&lt;='СРОКИ'!$B$6),('CF_Продажа'!$B$26-'CF_Продажа'!BW28)*'Вводные'!$B$59/12,0)</f>
        <v/>
      </c>
      <c r="BX29" s="47">
        <f>'CF_Продажа'!BX17*'Вводные'!$B$57+IF(AND('CF_Продажа'!BX25&gt;0,'CF_Продажа'!BW27=0),'CF_Продажа'!$B$25*'Вводные'!$B$58,0)+IF(AND('CF_Продажа'!BX26&gt;0,'CF_Продажа'!BW28=0),'CF_Продажа'!$B$26*'Вводные'!$B$58,0)+IF(AND('CF_Продажа'!BX27&gt;0,'СРОКИ'!BX10&lt;'СРОКИ'!$B$5),('CF_Продажа'!$B$25-'CF_Продажа'!BX27)*'Вводные'!$B$59/12,0)+IF(AND('CF_Продажа'!BX28&gt;0,'СРОКИ'!BX10&lt;='СРОКИ'!$B$6),('CF_Продажа'!$B$26-'CF_Продажа'!BX28)*'Вводные'!$B$59/12,0)</f>
        <v/>
      </c>
      <c r="BY29" s="47">
        <f>'CF_Продажа'!BY17*'Вводные'!$B$57+IF(AND('CF_Продажа'!BY25&gt;0,'CF_Продажа'!BX27=0),'CF_Продажа'!$B$25*'Вводные'!$B$58,0)+IF(AND('CF_Продажа'!BY26&gt;0,'CF_Продажа'!BX28=0),'CF_Продажа'!$B$26*'Вводные'!$B$58,0)+IF(AND('CF_Продажа'!BY27&gt;0,'СРОКИ'!BY10&lt;'СРОКИ'!$B$5),('CF_Продажа'!$B$25-'CF_Продажа'!BY27)*'Вводные'!$B$59/12,0)+IF(AND('CF_Продажа'!BY28&gt;0,'СРОКИ'!BY10&lt;='СРОКИ'!$B$6),('CF_Продажа'!$B$26-'CF_Продажа'!BY28)*'Вводные'!$B$59/12,0)</f>
        <v/>
      </c>
      <c r="BZ29" s="47">
        <f>'CF_Продажа'!BZ17*'Вводные'!$B$57+IF(AND('CF_Продажа'!BZ25&gt;0,'CF_Продажа'!BY27=0),'CF_Продажа'!$B$25*'Вводные'!$B$58,0)+IF(AND('CF_Продажа'!BZ26&gt;0,'CF_Продажа'!BY28=0),'CF_Продажа'!$B$26*'Вводные'!$B$58,0)+IF(AND('CF_Продажа'!BZ27&gt;0,'СРОКИ'!BZ10&lt;'СРОКИ'!$B$5),('CF_Продажа'!$B$25-'CF_Продажа'!BZ27)*'Вводные'!$B$59/12,0)+IF(AND('CF_Продажа'!BZ28&gt;0,'СРОКИ'!BZ10&lt;='СРОКИ'!$B$6),('CF_Продажа'!$B$26-'CF_Продажа'!BZ28)*'Вводные'!$B$59/12,0)</f>
        <v/>
      </c>
      <c r="CA29" s="47">
        <f>'CF_Продажа'!CA17*'Вводные'!$B$57+IF(AND('CF_Продажа'!CA25&gt;0,'CF_Продажа'!BZ27=0),'CF_Продажа'!$B$25*'Вводные'!$B$58,0)+IF(AND('CF_Продажа'!CA26&gt;0,'CF_Продажа'!BZ28=0),'CF_Продажа'!$B$26*'Вводные'!$B$58,0)+IF(AND('CF_Продажа'!CA27&gt;0,'СРОКИ'!CA10&lt;'СРОКИ'!$B$5),('CF_Продажа'!$B$25-'CF_Продажа'!CA27)*'Вводные'!$B$59/12,0)+IF(AND('CF_Продажа'!CA28&gt;0,'СРОКИ'!CA10&lt;='СРОКИ'!$B$6),('CF_Продажа'!$B$26-'CF_Продажа'!CA28)*'Вводные'!$B$59/12,0)</f>
        <v/>
      </c>
      <c r="CB29" s="47">
        <f>'CF_Продажа'!CB17*'Вводные'!$B$57+IF(AND('CF_Продажа'!CB25&gt;0,'CF_Продажа'!CA27=0),'CF_Продажа'!$B$25*'Вводные'!$B$58,0)+IF(AND('CF_Продажа'!CB26&gt;0,'CF_Продажа'!CA28=0),'CF_Продажа'!$B$26*'Вводные'!$B$58,0)+IF(AND('CF_Продажа'!CB27&gt;0,'СРОКИ'!CB10&lt;'СРОКИ'!$B$5),('CF_Продажа'!$B$25-'CF_Продажа'!CB27)*'Вводные'!$B$59/12,0)+IF(AND('CF_Продажа'!CB28&gt;0,'СРОКИ'!CB10&lt;='СРОКИ'!$B$6),('CF_Продажа'!$B$26-'CF_Продажа'!CB28)*'Вводные'!$B$59/12,0)</f>
        <v/>
      </c>
      <c r="CC29" s="47">
        <f>'CF_Продажа'!CC17*'Вводные'!$B$57+IF(AND('CF_Продажа'!CC25&gt;0,'CF_Продажа'!CB27=0),'CF_Продажа'!$B$25*'Вводные'!$B$58,0)+IF(AND('CF_Продажа'!CC26&gt;0,'CF_Продажа'!CB28=0),'CF_Продажа'!$B$26*'Вводные'!$B$58,0)+IF(AND('CF_Продажа'!CC27&gt;0,'СРОКИ'!CC10&lt;'СРОКИ'!$B$5),('CF_Продажа'!$B$25-'CF_Продажа'!CC27)*'Вводные'!$B$59/12,0)+IF(AND('CF_Продажа'!CC28&gt;0,'СРОКИ'!CC10&lt;='СРОКИ'!$B$6),('CF_Продажа'!$B$26-'CF_Продажа'!CC28)*'Вводные'!$B$59/12,0)</f>
        <v/>
      </c>
      <c r="CD29" s="47">
        <f>'CF_Продажа'!CD17*'Вводные'!$B$57+IF(AND('CF_Продажа'!CD25&gt;0,'CF_Продажа'!CC27=0),'CF_Продажа'!$B$25*'Вводные'!$B$58,0)+IF(AND('CF_Продажа'!CD26&gt;0,'CF_Продажа'!CC28=0),'CF_Продажа'!$B$26*'Вводные'!$B$58,0)+IF(AND('CF_Продажа'!CD27&gt;0,'СРОКИ'!CD10&lt;'СРОКИ'!$B$5),('CF_Продажа'!$B$25-'CF_Продажа'!CD27)*'Вводные'!$B$59/12,0)+IF(AND('CF_Продажа'!CD28&gt;0,'СРОКИ'!CD10&lt;='СРОКИ'!$B$6),('CF_Продажа'!$B$26-'CF_Продажа'!CD28)*'Вводные'!$B$59/12,0)</f>
        <v/>
      </c>
      <c r="CE29" s="47">
        <f>'CF_Продажа'!CE17*'Вводные'!$B$57+IF(AND('CF_Продажа'!CE25&gt;0,'CF_Продажа'!CD27=0),'CF_Продажа'!$B$25*'Вводные'!$B$58,0)+IF(AND('CF_Продажа'!CE26&gt;0,'CF_Продажа'!CD28=0),'CF_Продажа'!$B$26*'Вводные'!$B$58,0)+IF(AND('CF_Продажа'!CE27&gt;0,'СРОКИ'!CE10&lt;'СРОКИ'!$B$5),('CF_Продажа'!$B$25-'CF_Продажа'!CE27)*'Вводные'!$B$59/12,0)+IF(AND('CF_Продажа'!CE28&gt;0,'СРОКИ'!CE10&lt;='СРОКИ'!$B$6),('CF_Продажа'!$B$26-'CF_Продажа'!CE28)*'Вводные'!$B$59/12,0)</f>
        <v/>
      </c>
      <c r="CF29" s="47">
        <f>'CF_Продажа'!CF17*'Вводные'!$B$57+IF(AND('CF_Продажа'!CF25&gt;0,'CF_Продажа'!CE27=0),'CF_Продажа'!$B$25*'Вводные'!$B$58,0)+IF(AND('CF_Продажа'!CF26&gt;0,'CF_Продажа'!CE28=0),'CF_Продажа'!$B$26*'Вводные'!$B$58,0)+IF(AND('CF_Продажа'!CF27&gt;0,'СРОКИ'!CF10&lt;'СРОКИ'!$B$5),('CF_Продажа'!$B$25-'CF_Продажа'!CF27)*'Вводные'!$B$59/12,0)+IF(AND('CF_Продажа'!CF28&gt;0,'СРОКИ'!CF10&lt;='СРОКИ'!$B$6),('CF_Продажа'!$B$26-'CF_Продажа'!CF28)*'Вводные'!$B$59/12,0)</f>
        <v/>
      </c>
      <c r="CG29" s="47">
        <f>'CF_Продажа'!CG17*'Вводные'!$B$57+IF(AND('CF_Продажа'!CG25&gt;0,'CF_Продажа'!CF27=0),'CF_Продажа'!$B$25*'Вводные'!$B$58,0)+IF(AND('CF_Продажа'!CG26&gt;0,'CF_Продажа'!CF28=0),'CF_Продажа'!$B$26*'Вводные'!$B$58,0)+IF(AND('CF_Продажа'!CG27&gt;0,'СРОКИ'!CG10&lt;'СРОКИ'!$B$5),('CF_Продажа'!$B$25-'CF_Продажа'!CG27)*'Вводные'!$B$59/12,0)+IF(AND('CF_Продажа'!CG28&gt;0,'СРОКИ'!CG10&lt;='СРОКИ'!$B$6),('CF_Продажа'!$B$26-'CF_Продажа'!CG28)*'Вводные'!$B$59/12,0)</f>
        <v/>
      </c>
      <c r="CH29" s="47">
        <f>'CF_Продажа'!CH17*'Вводные'!$B$57+IF(AND('CF_Продажа'!CH25&gt;0,'CF_Продажа'!CG27=0),'CF_Продажа'!$B$25*'Вводные'!$B$58,0)+IF(AND('CF_Продажа'!CH26&gt;0,'CF_Продажа'!CG28=0),'CF_Продажа'!$B$26*'Вводные'!$B$58,0)+IF(AND('CF_Продажа'!CH27&gt;0,'СРОКИ'!CH10&lt;'СРОКИ'!$B$5),('CF_Продажа'!$B$25-'CF_Продажа'!CH27)*'Вводные'!$B$59/12,0)+IF(AND('CF_Продажа'!CH28&gt;0,'СРОКИ'!CH10&lt;='СРОКИ'!$B$6),('CF_Продажа'!$B$26-'CF_Продажа'!CH28)*'Вводные'!$B$59/12,0)</f>
        <v/>
      </c>
      <c r="CI29" s="47">
        <f>'CF_Продажа'!CI17*'Вводные'!$B$57+IF(AND('CF_Продажа'!CI25&gt;0,'CF_Продажа'!CH27=0),'CF_Продажа'!$B$25*'Вводные'!$B$58,0)+IF(AND('CF_Продажа'!CI26&gt;0,'CF_Продажа'!CH28=0),'CF_Продажа'!$B$26*'Вводные'!$B$58,0)+IF(AND('CF_Продажа'!CI27&gt;0,'СРОКИ'!CI10&lt;'СРОКИ'!$B$5),('CF_Продажа'!$B$25-'CF_Продажа'!CI27)*'Вводные'!$B$59/12,0)+IF(AND('CF_Продажа'!CI28&gt;0,'СРОКИ'!CI10&lt;='СРОКИ'!$B$6),('CF_Продажа'!$B$26-'CF_Продажа'!CI28)*'Вводные'!$B$59/12,0)</f>
        <v/>
      </c>
      <c r="CJ29" s="47">
        <f>'CF_Продажа'!CJ17*'Вводные'!$B$57+IF(AND('CF_Продажа'!CJ25&gt;0,'CF_Продажа'!CI27=0),'CF_Продажа'!$B$25*'Вводные'!$B$58,0)+IF(AND('CF_Продажа'!CJ26&gt;0,'CF_Продажа'!CI28=0),'CF_Продажа'!$B$26*'Вводные'!$B$58,0)+IF(AND('CF_Продажа'!CJ27&gt;0,'СРОКИ'!CJ10&lt;'СРОКИ'!$B$5),('CF_Продажа'!$B$25-'CF_Продажа'!CJ27)*'Вводные'!$B$59/12,0)+IF(AND('CF_Продажа'!CJ28&gt;0,'СРОКИ'!CJ10&lt;='СРОКИ'!$B$6),('CF_Продажа'!$B$26-'CF_Продажа'!CJ28)*'Вводные'!$B$59/12,0)</f>
        <v/>
      </c>
      <c r="CK29" s="47">
        <f>'CF_Продажа'!CK17*'Вводные'!$B$57+IF(AND('CF_Продажа'!CK25&gt;0,'CF_Продажа'!CJ27=0),'CF_Продажа'!$B$25*'Вводные'!$B$58,0)+IF(AND('CF_Продажа'!CK26&gt;0,'CF_Продажа'!CJ28=0),'CF_Продажа'!$B$26*'Вводные'!$B$58,0)+IF(AND('CF_Продажа'!CK27&gt;0,'СРОКИ'!CK10&lt;'СРОКИ'!$B$5),('CF_Продажа'!$B$25-'CF_Продажа'!CK27)*'Вводные'!$B$59/12,0)+IF(AND('CF_Продажа'!CK28&gt;0,'СРОКИ'!CK10&lt;='СРОКИ'!$B$6),('CF_Продажа'!$B$26-'CF_Продажа'!CK28)*'Вводные'!$B$59/12,0)</f>
        <v/>
      </c>
      <c r="CL29" s="47">
        <f>'CF_Продажа'!CL17*'Вводные'!$B$57+IF(AND('CF_Продажа'!CL25&gt;0,'CF_Продажа'!CK27=0),'CF_Продажа'!$B$25*'Вводные'!$B$58,0)+IF(AND('CF_Продажа'!CL26&gt;0,'CF_Продажа'!CK28=0),'CF_Продажа'!$B$26*'Вводные'!$B$58,0)+IF(AND('CF_Продажа'!CL27&gt;0,'СРОКИ'!CL10&lt;'СРОКИ'!$B$5),('CF_Продажа'!$B$25-'CF_Продажа'!CL27)*'Вводные'!$B$59/12,0)+IF(AND('CF_Продажа'!CL28&gt;0,'СРОКИ'!CL10&lt;='СРОКИ'!$B$6),('CF_Продажа'!$B$26-'CF_Продажа'!CL28)*'Вводные'!$B$59/12,0)</f>
        <v/>
      </c>
      <c r="CM29" s="47">
        <f>'CF_Продажа'!CM17*'Вводные'!$B$57+IF(AND('CF_Продажа'!CM25&gt;0,'CF_Продажа'!CL27=0),'CF_Продажа'!$B$25*'Вводные'!$B$58,0)+IF(AND('CF_Продажа'!CM26&gt;0,'CF_Продажа'!CL28=0),'CF_Продажа'!$B$26*'Вводные'!$B$58,0)+IF(AND('CF_Продажа'!CM27&gt;0,'СРОКИ'!CM10&lt;'СРОКИ'!$B$5),('CF_Продажа'!$B$25-'CF_Продажа'!CM27)*'Вводные'!$B$59/12,0)+IF(AND('CF_Продажа'!CM28&gt;0,'СРОКИ'!CM10&lt;='СРОКИ'!$B$6),('CF_Продажа'!$B$26-'CF_Продажа'!CM28)*'Вводные'!$B$59/12,0)</f>
        <v/>
      </c>
      <c r="CN29" s="47">
        <f>'CF_Продажа'!CN17*'Вводные'!$B$57+IF(AND('CF_Продажа'!CN25&gt;0,'CF_Продажа'!CM27=0),'CF_Продажа'!$B$25*'Вводные'!$B$58,0)+IF(AND('CF_Продажа'!CN26&gt;0,'CF_Продажа'!CM28=0),'CF_Продажа'!$B$26*'Вводные'!$B$58,0)+IF(AND('CF_Продажа'!CN27&gt;0,'СРОКИ'!CN10&lt;'СРОКИ'!$B$5),('CF_Продажа'!$B$25-'CF_Продажа'!CN27)*'Вводные'!$B$59/12,0)+IF(AND('CF_Продажа'!CN28&gt;0,'СРОКИ'!CN10&lt;='СРОКИ'!$B$6),('CF_Продажа'!$B$26-'CF_Продажа'!CN28)*'Вводные'!$B$59/12,0)</f>
        <v/>
      </c>
      <c r="CO29" s="47">
        <f>'CF_Продажа'!CO17*'Вводные'!$B$57+IF(AND('CF_Продажа'!CO25&gt;0,'CF_Продажа'!CN27=0),'CF_Продажа'!$B$25*'Вводные'!$B$58,0)+IF(AND('CF_Продажа'!CO26&gt;0,'CF_Продажа'!CN28=0),'CF_Продажа'!$B$26*'Вводные'!$B$58,0)+IF(AND('CF_Продажа'!CO27&gt;0,'СРОКИ'!CO10&lt;'СРОКИ'!$B$5),('CF_Продажа'!$B$25-'CF_Продажа'!CO27)*'Вводные'!$B$59/12,0)+IF(AND('CF_Продажа'!CO28&gt;0,'СРОКИ'!CO10&lt;='СРОКИ'!$B$6),('CF_Продажа'!$B$26-'CF_Продажа'!CO28)*'Вводные'!$B$59/12,0)</f>
        <v/>
      </c>
      <c r="CP29" s="47">
        <f>'CF_Продажа'!CP17*'Вводные'!$B$57+IF(AND('CF_Продажа'!CP25&gt;0,'CF_Продажа'!CO27=0),'CF_Продажа'!$B$25*'Вводные'!$B$58,0)+IF(AND('CF_Продажа'!CP26&gt;0,'CF_Продажа'!CO28=0),'CF_Продажа'!$B$26*'Вводные'!$B$58,0)+IF(AND('CF_Продажа'!CP27&gt;0,'СРОКИ'!CP10&lt;'СРОКИ'!$B$5),('CF_Продажа'!$B$25-'CF_Продажа'!CP27)*'Вводные'!$B$59/12,0)+IF(AND('CF_Продажа'!CP28&gt;0,'СРОКИ'!CP10&lt;='СРОКИ'!$B$6),('CF_Продажа'!$B$26-'CF_Продажа'!CP28)*'Вводные'!$B$59/12,0)</f>
        <v/>
      </c>
      <c r="CQ29" s="47">
        <f>'CF_Продажа'!CQ17*'Вводные'!$B$57+IF(AND('CF_Продажа'!CQ25&gt;0,'CF_Продажа'!CP27=0),'CF_Продажа'!$B$25*'Вводные'!$B$58,0)+IF(AND('CF_Продажа'!CQ26&gt;0,'CF_Продажа'!CP28=0),'CF_Продажа'!$B$26*'Вводные'!$B$58,0)+IF(AND('CF_Продажа'!CQ27&gt;0,'СРОКИ'!CQ10&lt;'СРОКИ'!$B$5),('CF_Продажа'!$B$25-'CF_Продажа'!CQ27)*'Вводные'!$B$59/12,0)+IF(AND('CF_Продажа'!CQ28&gt;0,'СРОКИ'!CQ10&lt;='СРОКИ'!$B$6),('CF_Продажа'!$B$26-'CF_Продажа'!CQ28)*'Вводные'!$B$59/12,0)</f>
        <v/>
      </c>
      <c r="CR29" s="47">
        <f>'CF_Продажа'!CR17*'Вводные'!$B$57+IF(AND('CF_Продажа'!CR25&gt;0,'CF_Продажа'!CQ27=0),'CF_Продажа'!$B$25*'Вводные'!$B$58,0)+IF(AND('CF_Продажа'!CR26&gt;0,'CF_Продажа'!CQ28=0),'CF_Продажа'!$B$26*'Вводные'!$B$58,0)+IF(AND('CF_Продажа'!CR27&gt;0,'СРОКИ'!CR10&lt;'СРОКИ'!$B$5),('CF_Продажа'!$B$25-'CF_Продажа'!CR27)*'Вводные'!$B$59/12,0)+IF(AND('CF_Продажа'!CR28&gt;0,'СРОКИ'!CR10&lt;='СРОКИ'!$B$6),('CF_Продажа'!$B$26-'CF_Продажа'!CR28)*'Вводные'!$B$59/12,0)</f>
        <v/>
      </c>
      <c r="CS29" s="47">
        <f>'CF_Продажа'!CS17*'Вводные'!$B$57+IF(AND('CF_Продажа'!CS25&gt;0,'CF_Продажа'!CR27=0),'CF_Продажа'!$B$25*'Вводные'!$B$58,0)+IF(AND('CF_Продажа'!CS26&gt;0,'CF_Продажа'!CR28=0),'CF_Продажа'!$B$26*'Вводные'!$B$58,0)+IF(AND('CF_Продажа'!CS27&gt;0,'СРОКИ'!CS10&lt;'СРОКИ'!$B$5),('CF_Продажа'!$B$25-'CF_Продажа'!CS27)*'Вводные'!$B$59/12,0)+IF(AND('CF_Продажа'!CS28&gt;0,'СРОКИ'!CS10&lt;='СРОКИ'!$B$6),('CF_Продажа'!$B$26-'CF_Продажа'!CS28)*'Вводные'!$B$59/12,0)</f>
        <v/>
      </c>
      <c r="CT29" s="47">
        <f>'CF_Продажа'!CT17*'Вводные'!$B$57+IF(AND('CF_Продажа'!CT25&gt;0,'CF_Продажа'!CS27=0),'CF_Продажа'!$B$25*'Вводные'!$B$58,0)+IF(AND('CF_Продажа'!CT26&gt;0,'CF_Продажа'!CS28=0),'CF_Продажа'!$B$26*'Вводные'!$B$58,0)+IF(AND('CF_Продажа'!CT27&gt;0,'СРОКИ'!CT10&lt;'СРОКИ'!$B$5),('CF_Продажа'!$B$25-'CF_Продажа'!CT27)*'Вводные'!$B$59/12,0)+IF(AND('CF_Продажа'!CT28&gt;0,'СРОКИ'!CT10&lt;='СРОКИ'!$B$6),('CF_Продажа'!$B$26-'CF_Продажа'!CT28)*'Вводные'!$B$59/12,0)</f>
        <v/>
      </c>
      <c r="CU29" s="47">
        <f>'CF_Продажа'!CU17*'Вводные'!$B$57+IF(AND('CF_Продажа'!CU25&gt;0,'CF_Продажа'!CT27=0),'CF_Продажа'!$B$25*'Вводные'!$B$58,0)+IF(AND('CF_Продажа'!CU26&gt;0,'CF_Продажа'!CT28=0),'CF_Продажа'!$B$26*'Вводные'!$B$58,0)+IF(AND('CF_Продажа'!CU27&gt;0,'СРОКИ'!CU10&lt;'СРОКИ'!$B$5),('CF_Продажа'!$B$25-'CF_Продажа'!CU27)*'Вводные'!$B$59/12,0)+IF(AND('CF_Продажа'!CU28&gt;0,'СРОКИ'!CU10&lt;='СРОКИ'!$B$6),('CF_Продажа'!$B$26-'CF_Продажа'!CU28)*'Вводные'!$B$59/12,0)</f>
        <v/>
      </c>
      <c r="CV29" s="47">
        <f>'CF_Продажа'!CV17*'Вводные'!$B$57+IF(AND('CF_Продажа'!CV25&gt;0,'CF_Продажа'!CU27=0),'CF_Продажа'!$B$25*'Вводные'!$B$58,0)+IF(AND('CF_Продажа'!CV26&gt;0,'CF_Продажа'!CU28=0),'CF_Продажа'!$B$26*'Вводные'!$B$58,0)+IF(AND('CF_Продажа'!CV27&gt;0,'СРОКИ'!CV10&lt;'СРОКИ'!$B$5),('CF_Продажа'!$B$25-'CF_Продажа'!CV27)*'Вводные'!$B$59/12,0)+IF(AND('CF_Продажа'!CV28&gt;0,'СРОКИ'!CV10&lt;='СРОКИ'!$B$6),('CF_Продажа'!$B$26-'CF_Продажа'!CV28)*'Вводные'!$B$59/12,0)</f>
        <v/>
      </c>
      <c r="CW29" s="47">
        <f>'CF_Продажа'!CW17*'Вводные'!$B$57+IF(AND('CF_Продажа'!CW25&gt;0,'CF_Продажа'!CV27=0),'CF_Продажа'!$B$25*'Вводные'!$B$58,0)+IF(AND('CF_Продажа'!CW26&gt;0,'CF_Продажа'!CV28=0),'CF_Продажа'!$B$26*'Вводные'!$B$58,0)+IF(AND('CF_Продажа'!CW27&gt;0,'СРОКИ'!CW10&lt;'СРОКИ'!$B$5),('CF_Продажа'!$B$25-'CF_Продажа'!CW27)*'Вводные'!$B$59/12,0)+IF(AND('CF_Продажа'!CW28&gt;0,'СРОКИ'!CW10&lt;='СРОКИ'!$B$6),('CF_Продажа'!$B$26-'CF_Продажа'!CW28)*'Вводные'!$B$59/12,0)</f>
        <v/>
      </c>
      <c r="CX29" s="47">
        <f>'CF_Продажа'!CX17*'Вводные'!$B$57+IF(AND('CF_Продажа'!CX25&gt;0,'CF_Продажа'!CW27=0),'CF_Продажа'!$B$25*'Вводные'!$B$58,0)+IF(AND('CF_Продажа'!CX26&gt;0,'CF_Продажа'!CW28=0),'CF_Продажа'!$B$26*'Вводные'!$B$58,0)+IF(AND('CF_Продажа'!CX27&gt;0,'СРОКИ'!CX10&lt;'СРОКИ'!$B$5),('CF_Продажа'!$B$25-'CF_Продажа'!CX27)*'Вводные'!$B$59/12,0)+IF(AND('CF_Продажа'!CX28&gt;0,'СРОКИ'!CX10&lt;='СРОКИ'!$B$6),('CF_Продажа'!$B$26-'CF_Продажа'!CX28)*'Вводные'!$B$59/12,0)</f>
        <v/>
      </c>
      <c r="CY29" s="47">
        <f>'CF_Продажа'!CY17*'Вводные'!$B$57+IF(AND('CF_Продажа'!CY25&gt;0,'CF_Продажа'!CX27=0),'CF_Продажа'!$B$25*'Вводные'!$B$58,0)+IF(AND('CF_Продажа'!CY26&gt;0,'CF_Продажа'!CX28=0),'CF_Продажа'!$B$26*'Вводные'!$B$58,0)+IF(AND('CF_Продажа'!CY27&gt;0,'СРОКИ'!CY10&lt;'СРОКИ'!$B$5),('CF_Продажа'!$B$25-'CF_Продажа'!CY27)*'Вводные'!$B$59/12,0)+IF(AND('CF_Продажа'!CY28&gt;0,'СРОКИ'!CY10&lt;='СРОКИ'!$B$6),('CF_Продажа'!$B$26-'CF_Продажа'!CY28)*'Вводные'!$B$59/12,0)</f>
        <v/>
      </c>
      <c r="CZ29" s="47">
        <f>'CF_Продажа'!CZ17*'Вводные'!$B$57+IF(AND('CF_Продажа'!CZ25&gt;0,'CF_Продажа'!CY27=0),'CF_Продажа'!$B$25*'Вводные'!$B$58,0)+IF(AND('CF_Продажа'!CZ26&gt;0,'CF_Продажа'!CY28=0),'CF_Продажа'!$B$26*'Вводные'!$B$58,0)+IF(AND('CF_Продажа'!CZ27&gt;0,'СРОКИ'!CZ10&lt;'СРОКИ'!$B$5),('CF_Продажа'!$B$25-'CF_Продажа'!CZ27)*'Вводные'!$B$59/12,0)+IF(AND('CF_Продажа'!CZ28&gt;0,'СРОКИ'!CZ10&lt;='СРОКИ'!$B$6),('CF_Продажа'!$B$26-'CF_Продажа'!CZ28)*'Вводные'!$B$59/12,0)</f>
        <v/>
      </c>
      <c r="DA29" s="47">
        <f>'CF_Продажа'!DA17*'Вводные'!$B$57+IF(AND('CF_Продажа'!DA25&gt;0,'CF_Продажа'!CZ27=0),'CF_Продажа'!$B$25*'Вводные'!$B$58,0)+IF(AND('CF_Продажа'!DA26&gt;0,'CF_Продажа'!CZ28=0),'CF_Продажа'!$B$26*'Вводные'!$B$58,0)+IF(AND('CF_Продажа'!DA27&gt;0,'СРОКИ'!DA10&lt;'СРОКИ'!$B$5),('CF_Продажа'!$B$25-'CF_Продажа'!DA27)*'Вводные'!$B$59/12,0)+IF(AND('CF_Продажа'!DA28&gt;0,'СРОКИ'!DA10&lt;='СРОКИ'!$B$6),('CF_Продажа'!$B$26-'CF_Продажа'!DA28)*'Вводные'!$B$59/12,0)</f>
        <v/>
      </c>
      <c r="DB29" s="47">
        <f>'CF_Продажа'!DB17*'Вводные'!$B$57+IF(AND('CF_Продажа'!DB25&gt;0,'CF_Продажа'!DA27=0),'CF_Продажа'!$B$25*'Вводные'!$B$58,0)+IF(AND('CF_Продажа'!DB26&gt;0,'CF_Продажа'!DA28=0),'CF_Продажа'!$B$26*'Вводные'!$B$58,0)+IF(AND('CF_Продажа'!DB27&gt;0,'СРОКИ'!DB10&lt;'СРОКИ'!$B$5),('CF_Продажа'!$B$25-'CF_Продажа'!DB27)*'Вводные'!$B$59/12,0)+IF(AND('CF_Продажа'!DB28&gt;0,'СРОКИ'!DB10&lt;='СРОКИ'!$B$6),('CF_Продажа'!$B$26-'CF_Продажа'!DB28)*'Вводные'!$B$59/12,0)</f>
        <v/>
      </c>
      <c r="DC29" s="47">
        <f>'CF_Продажа'!DC17*'Вводные'!$B$57+IF(AND('CF_Продажа'!DC25&gt;0,'CF_Продажа'!DB27=0),'CF_Продажа'!$B$25*'Вводные'!$B$58,0)+IF(AND('CF_Продажа'!DC26&gt;0,'CF_Продажа'!DB28=0),'CF_Продажа'!$B$26*'Вводные'!$B$58,0)+IF(AND('CF_Продажа'!DC27&gt;0,'СРОКИ'!DC10&lt;'СРОКИ'!$B$5),('CF_Продажа'!$B$25-'CF_Продажа'!DC27)*'Вводные'!$B$59/12,0)+IF(AND('CF_Продажа'!DC28&gt;0,'СРОКИ'!DC10&lt;='СРОКИ'!$B$6),('CF_Продажа'!$B$26-'CF_Продажа'!DC28)*'Вводные'!$B$59/12,0)</f>
        <v/>
      </c>
      <c r="DD29" s="47">
        <f>'CF_Продажа'!DD17*'Вводные'!$B$57+IF(AND('CF_Продажа'!DD25&gt;0,'CF_Продажа'!DC27=0),'CF_Продажа'!$B$25*'Вводные'!$B$58,0)+IF(AND('CF_Продажа'!DD26&gt;0,'CF_Продажа'!DC28=0),'CF_Продажа'!$B$26*'Вводные'!$B$58,0)+IF(AND('CF_Продажа'!DD27&gt;0,'СРОКИ'!DD10&lt;'СРОКИ'!$B$5),('CF_Продажа'!$B$25-'CF_Продажа'!DD27)*'Вводные'!$B$59/12,0)+IF(AND('CF_Продажа'!DD28&gt;0,'СРОКИ'!DD10&lt;='СРОКИ'!$B$6),('CF_Продажа'!$B$26-'CF_Продажа'!DD28)*'Вводные'!$B$59/12,0)</f>
        <v/>
      </c>
      <c r="DE29" s="47">
        <f>'CF_Продажа'!DE17*'Вводные'!$B$57+IF(AND('CF_Продажа'!DE25&gt;0,'CF_Продажа'!DD27=0),'CF_Продажа'!$B$25*'Вводные'!$B$58,0)+IF(AND('CF_Продажа'!DE26&gt;0,'CF_Продажа'!DD28=0),'CF_Продажа'!$B$26*'Вводные'!$B$58,0)+IF(AND('CF_Продажа'!DE27&gt;0,'СРОКИ'!DE10&lt;'СРОКИ'!$B$5),('CF_Продажа'!$B$25-'CF_Продажа'!DE27)*'Вводные'!$B$59/12,0)+IF(AND('CF_Продажа'!DE28&gt;0,'СРОКИ'!DE10&lt;='СРОКИ'!$B$6),('CF_Продажа'!$B$26-'CF_Продажа'!DE28)*'Вводные'!$B$59/12,0)</f>
        <v/>
      </c>
      <c r="DF29" s="47">
        <f>'CF_Продажа'!DF17*'Вводные'!$B$57+IF(AND('CF_Продажа'!DF25&gt;0,'CF_Продажа'!DE27=0),'CF_Продажа'!$B$25*'Вводные'!$B$58,0)+IF(AND('CF_Продажа'!DF26&gt;0,'CF_Продажа'!DE28=0),'CF_Продажа'!$B$26*'Вводные'!$B$58,0)+IF(AND('CF_Продажа'!DF27&gt;0,'СРОКИ'!DF10&lt;'СРОКИ'!$B$5),('CF_Продажа'!$B$25-'CF_Продажа'!DF27)*'Вводные'!$B$59/12,0)+IF(AND('CF_Продажа'!DF28&gt;0,'СРОКИ'!DF10&lt;='СРОКИ'!$B$6),('CF_Продажа'!$B$26-'CF_Продажа'!DF28)*'Вводные'!$B$59/12,0)</f>
        <v/>
      </c>
      <c r="DG29" s="47">
        <f>'CF_Продажа'!DG17*'Вводные'!$B$57+IF(AND('CF_Продажа'!DG25&gt;0,'CF_Продажа'!DF27=0),'CF_Продажа'!$B$25*'Вводные'!$B$58,0)+IF(AND('CF_Продажа'!DG26&gt;0,'CF_Продажа'!DF28=0),'CF_Продажа'!$B$26*'Вводные'!$B$58,0)+IF(AND('CF_Продажа'!DG27&gt;0,'СРОКИ'!DG10&lt;'СРОКИ'!$B$5),('CF_Продажа'!$B$25-'CF_Продажа'!DG27)*'Вводные'!$B$59/12,0)+IF(AND('CF_Продажа'!DG28&gt;0,'СРОКИ'!DG10&lt;='СРОКИ'!$B$6),('CF_Продажа'!$B$26-'CF_Продажа'!DG28)*'Вводные'!$B$59/12,0)</f>
        <v/>
      </c>
      <c r="DH29" s="47">
        <f>'CF_Продажа'!DH17*'Вводные'!$B$57+IF(AND('CF_Продажа'!DH25&gt;0,'CF_Продажа'!DG27=0),'CF_Продажа'!$B$25*'Вводные'!$B$58,0)+IF(AND('CF_Продажа'!DH26&gt;0,'CF_Продажа'!DG28=0),'CF_Продажа'!$B$26*'Вводные'!$B$58,0)+IF(AND('CF_Продажа'!DH27&gt;0,'СРОКИ'!DH10&lt;'СРОКИ'!$B$5),('CF_Продажа'!$B$25-'CF_Продажа'!DH27)*'Вводные'!$B$59/12,0)+IF(AND('CF_Продажа'!DH28&gt;0,'СРОКИ'!DH10&lt;='СРОКИ'!$B$6),('CF_Продажа'!$B$26-'CF_Продажа'!DH28)*'Вводные'!$B$59/12,0)</f>
        <v/>
      </c>
      <c r="DI29" s="47">
        <f>'CF_Продажа'!DI17*'Вводные'!$B$57+IF(AND('CF_Продажа'!DI25&gt;0,'CF_Продажа'!DH27=0),'CF_Продажа'!$B$25*'Вводные'!$B$58,0)+IF(AND('CF_Продажа'!DI26&gt;0,'CF_Продажа'!DH28=0),'CF_Продажа'!$B$26*'Вводные'!$B$58,0)+IF(AND('CF_Продажа'!DI27&gt;0,'СРОКИ'!DI10&lt;'СРОКИ'!$B$5),('CF_Продажа'!$B$25-'CF_Продажа'!DI27)*'Вводные'!$B$59/12,0)+IF(AND('CF_Продажа'!DI28&gt;0,'СРОКИ'!DI10&lt;='СРОКИ'!$B$6),('CF_Продажа'!$B$26-'CF_Продажа'!DI28)*'Вводные'!$B$59/12,0)</f>
        <v/>
      </c>
      <c r="DJ29" s="47">
        <f>'CF_Продажа'!DJ17*'Вводные'!$B$57+IF(AND('CF_Продажа'!DJ25&gt;0,'CF_Продажа'!DI27=0),'CF_Продажа'!$B$25*'Вводные'!$B$58,0)+IF(AND('CF_Продажа'!DJ26&gt;0,'CF_Продажа'!DI28=0),'CF_Продажа'!$B$26*'Вводные'!$B$58,0)+IF(AND('CF_Продажа'!DJ27&gt;0,'СРОКИ'!DJ10&lt;'СРОКИ'!$B$5),('CF_Продажа'!$B$25-'CF_Продажа'!DJ27)*'Вводные'!$B$59/12,0)+IF(AND('CF_Продажа'!DJ28&gt;0,'СРОКИ'!DJ10&lt;='СРОКИ'!$B$6),('CF_Продажа'!$B$26-'CF_Продажа'!DJ28)*'Вводные'!$B$59/12,0)</f>
        <v/>
      </c>
      <c r="DK29" s="47">
        <f>'CF_Продажа'!DK17*'Вводные'!$B$57+IF(AND('CF_Продажа'!DK25&gt;0,'CF_Продажа'!DJ27=0),'CF_Продажа'!$B$25*'Вводные'!$B$58,0)+IF(AND('CF_Продажа'!DK26&gt;0,'CF_Продажа'!DJ28=0),'CF_Продажа'!$B$26*'Вводные'!$B$58,0)+IF(AND('CF_Продажа'!DK27&gt;0,'СРОКИ'!DK10&lt;'СРОКИ'!$B$5),('CF_Продажа'!$B$25-'CF_Продажа'!DK27)*'Вводные'!$B$59/12,0)+IF(AND('CF_Продажа'!DK28&gt;0,'СРОКИ'!DK10&lt;='СРОКИ'!$B$6),('CF_Продажа'!$B$26-'CF_Продажа'!DK28)*'Вводные'!$B$59/12,0)</f>
        <v/>
      </c>
      <c r="DL29" s="47">
        <f>'CF_Продажа'!DL17*'Вводные'!$B$57+IF(AND('CF_Продажа'!DL25&gt;0,'CF_Продажа'!DK27=0),'CF_Продажа'!$B$25*'Вводные'!$B$58,0)+IF(AND('CF_Продажа'!DL26&gt;0,'CF_Продажа'!DK28=0),'CF_Продажа'!$B$26*'Вводные'!$B$58,0)+IF(AND('CF_Продажа'!DL27&gt;0,'СРОКИ'!DL10&lt;'СРОКИ'!$B$5),('CF_Продажа'!$B$25-'CF_Продажа'!DL27)*'Вводные'!$B$59/12,0)+IF(AND('CF_Продажа'!DL28&gt;0,'СРОКИ'!DL10&lt;='СРОКИ'!$B$6),('CF_Продажа'!$B$26-'CF_Продажа'!DL28)*'Вводные'!$B$59/12,0)</f>
        <v/>
      </c>
      <c r="DM29" s="47">
        <f>'CF_Продажа'!DM17*'Вводные'!$B$57+IF(AND('CF_Продажа'!DM25&gt;0,'CF_Продажа'!DL27=0),'CF_Продажа'!$B$25*'Вводные'!$B$58,0)+IF(AND('CF_Продажа'!DM26&gt;0,'CF_Продажа'!DL28=0),'CF_Продажа'!$B$26*'Вводные'!$B$58,0)+IF(AND('CF_Продажа'!DM27&gt;0,'СРОКИ'!DM10&lt;'СРОКИ'!$B$5),('CF_Продажа'!$B$25-'CF_Продажа'!DM27)*'Вводные'!$B$59/12,0)+IF(AND('CF_Продажа'!DM28&gt;0,'СРОКИ'!DM10&lt;='СРОКИ'!$B$6),('CF_Продажа'!$B$26-'CF_Продажа'!DM28)*'Вводные'!$B$59/12,0)</f>
        <v/>
      </c>
    </row>
    <row r="31">
      <c r="A31" s="17" t="inlineStr">
        <is>
          <t>Деньги собственника</t>
        </is>
      </c>
      <c r="B31" s="18" t="n"/>
      <c r="C31" s="18" t="n"/>
    </row>
    <row r="32">
      <c r="A32" s="39" t="inlineStr">
        <is>
          <t>Налог на прибыль проекта к уплате (движок; в рабочей книге — лист «Налоги»)</t>
        </is>
      </c>
      <c r="B32" s="40">
        <f>SUM(D32:DM32)</f>
        <v/>
      </c>
      <c r="C32" s="37" t="inlineStr">
        <is>
          <t>млн ₽</t>
        </is>
      </c>
      <c r="D32" s="41" t="n">
        <v>0</v>
      </c>
      <c r="E32" s="41" t="n">
        <v>0</v>
      </c>
      <c r="F32" s="41" t="n">
        <v>0</v>
      </c>
      <c r="G32" s="41" t="n">
        <v>0</v>
      </c>
      <c r="H32" s="41" t="n">
        <v>0</v>
      </c>
      <c r="I32" s="41" t="n">
        <v>0</v>
      </c>
      <c r="J32" s="41" t="n">
        <v>0</v>
      </c>
      <c r="K32" s="41" t="n">
        <v>0</v>
      </c>
      <c r="L32" s="41" t="n">
        <v>0</v>
      </c>
      <c r="M32" s="41" t="n">
        <v>0</v>
      </c>
      <c r="N32" s="41" t="n">
        <v>0</v>
      </c>
      <c r="O32" s="41" t="n">
        <v>0</v>
      </c>
      <c r="P32" s="41" t="n">
        <v>0</v>
      </c>
      <c r="Q32" s="41" t="n">
        <v>0</v>
      </c>
      <c r="R32" s="41" t="n">
        <v>0</v>
      </c>
      <c r="S32" s="41" t="n">
        <v>0</v>
      </c>
      <c r="T32" s="41" t="n">
        <v>0</v>
      </c>
      <c r="U32" s="41" t="n">
        <v>0</v>
      </c>
      <c r="V32" s="41" t="n">
        <v>0</v>
      </c>
      <c r="W32" s="41" t="n">
        <v>0</v>
      </c>
      <c r="X32" s="41" t="n">
        <v>0</v>
      </c>
      <c r="Y32" s="41" t="n">
        <v>0</v>
      </c>
      <c r="Z32" s="41" t="n">
        <v>0</v>
      </c>
      <c r="AA32" s="41" t="n">
        <v>0</v>
      </c>
      <c r="AB32" s="41" t="n">
        <v>0</v>
      </c>
      <c r="AC32" s="41" t="n">
        <v>0</v>
      </c>
      <c r="AD32" s="41" t="n">
        <v>0</v>
      </c>
      <c r="AE32" s="41" t="n">
        <v>0</v>
      </c>
      <c r="AF32" s="41" t="n">
        <v>0</v>
      </c>
      <c r="AG32" s="41" t="n">
        <v>0</v>
      </c>
      <c r="AH32" s="41" t="n">
        <v>0</v>
      </c>
      <c r="AI32" s="41" t="n">
        <v>0</v>
      </c>
      <c r="AJ32" s="41" t="n">
        <v>0</v>
      </c>
      <c r="AK32" s="41" t="n">
        <v>0</v>
      </c>
      <c r="AL32" s="41" t="n">
        <v>0</v>
      </c>
      <c r="AM32" s="41" t="n">
        <v>0</v>
      </c>
      <c r="AN32" s="41" t="n">
        <v>0</v>
      </c>
      <c r="AO32" s="41" t="n">
        <v>0</v>
      </c>
      <c r="AP32" s="41" t="n">
        <v>0</v>
      </c>
      <c r="AQ32" s="41" t="n">
        <v>0</v>
      </c>
      <c r="AR32" s="41" t="n">
        <v>0</v>
      </c>
      <c r="AS32" s="41" t="n">
        <v>0</v>
      </c>
      <c r="AT32" s="41" t="n">
        <v>0</v>
      </c>
      <c r="AU32" s="41" t="n">
        <v>0</v>
      </c>
      <c r="AV32" s="41" t="n">
        <v>0</v>
      </c>
      <c r="AW32" s="41" t="n">
        <v>0</v>
      </c>
      <c r="AX32" s="41" t="n">
        <v>0</v>
      </c>
      <c r="AY32" s="41" t="n">
        <v>0</v>
      </c>
      <c r="AZ32" s="41" t="n">
        <v>0</v>
      </c>
      <c r="BA32" s="41" t="n">
        <v>0</v>
      </c>
      <c r="BB32" s="41" t="n">
        <v>0</v>
      </c>
      <c r="BC32" s="41" t="n">
        <v>69.79165979214139</v>
      </c>
      <c r="BD32" s="41" t="n">
        <v>0</v>
      </c>
      <c r="BE32" s="41" t="n">
        <v>0</v>
      </c>
      <c r="BF32" s="41" t="n">
        <v>74.04879033751912</v>
      </c>
      <c r="BG32" s="41" t="n">
        <v>0</v>
      </c>
      <c r="BH32" s="41" t="n">
        <v>0</v>
      </c>
      <c r="BI32" s="41" t="n">
        <v>0</v>
      </c>
      <c r="BJ32" s="41" t="n">
        <v>0</v>
      </c>
      <c r="BK32" s="41" t="n">
        <v>0</v>
      </c>
      <c r="BL32" s="41" t="n">
        <v>0</v>
      </c>
      <c r="BM32" s="41" t="n">
        <v>0</v>
      </c>
      <c r="BN32" s="41" t="n">
        <v>0</v>
      </c>
      <c r="BO32" s="41" t="n">
        <v>0</v>
      </c>
      <c r="BP32" s="41" t="n">
        <v>0</v>
      </c>
      <c r="BQ32" s="41" t="n">
        <v>0</v>
      </c>
      <c r="BR32" s="41" t="n">
        <v>0</v>
      </c>
      <c r="BS32" s="41" t="n">
        <v>0</v>
      </c>
      <c r="BT32" s="41" t="n">
        <v>0</v>
      </c>
      <c r="BU32" s="41" t="n">
        <v>0</v>
      </c>
      <c r="BV32" s="41" t="n">
        <v>0</v>
      </c>
      <c r="BW32" s="41" t="n">
        <v>0</v>
      </c>
      <c r="BX32" s="41" t="n">
        <v>0</v>
      </c>
      <c r="BY32" s="41" t="n">
        <v>0</v>
      </c>
      <c r="BZ32" s="41" t="n">
        <v>0</v>
      </c>
      <c r="CA32" s="41" t="n">
        <v>0</v>
      </c>
      <c r="CB32" s="41" t="n">
        <v>0</v>
      </c>
      <c r="CC32" s="41" t="n">
        <v>0</v>
      </c>
      <c r="CD32" s="41" t="n">
        <v>0</v>
      </c>
      <c r="CE32" s="41" t="n">
        <v>0</v>
      </c>
      <c r="CF32" s="41" t="n">
        <v>0</v>
      </c>
      <c r="CG32" s="41" t="n">
        <v>0</v>
      </c>
      <c r="CH32" s="41" t="n">
        <v>0</v>
      </c>
      <c r="CI32" s="41" t="n">
        <v>0</v>
      </c>
      <c r="CJ32" s="41" t="n">
        <v>0</v>
      </c>
      <c r="CK32" s="41" t="n">
        <v>0</v>
      </c>
      <c r="CL32" s="41" t="n">
        <v>0</v>
      </c>
      <c r="CM32" s="41" t="n">
        <v>0</v>
      </c>
      <c r="CN32" s="41" t="n">
        <v>0</v>
      </c>
      <c r="CO32" s="41" t="n">
        <v>0</v>
      </c>
      <c r="CP32" s="41" t="n">
        <v>0</v>
      </c>
      <c r="CQ32" s="41" t="n">
        <v>0</v>
      </c>
      <c r="CR32" s="41" t="n">
        <v>0</v>
      </c>
      <c r="CS32" s="41" t="n">
        <v>0</v>
      </c>
      <c r="CT32" s="41" t="n">
        <v>0</v>
      </c>
      <c r="CU32" s="41" t="n">
        <v>0</v>
      </c>
      <c r="CV32" s="41" t="n">
        <v>0</v>
      </c>
      <c r="CW32" s="41" t="n">
        <v>0</v>
      </c>
      <c r="CX32" s="41" t="n">
        <v>0</v>
      </c>
      <c r="CY32" s="41" t="n">
        <v>0</v>
      </c>
      <c r="CZ32" s="41" t="n">
        <v>0</v>
      </c>
      <c r="DA32" s="41" t="n">
        <v>0</v>
      </c>
      <c r="DB32" s="41" t="n">
        <v>0</v>
      </c>
      <c r="DC32" s="41" t="n">
        <v>0</v>
      </c>
      <c r="DD32" s="41" t="n">
        <v>0</v>
      </c>
      <c r="DE32" s="41" t="n">
        <v>0</v>
      </c>
      <c r="DF32" s="41" t="n">
        <v>0</v>
      </c>
      <c r="DG32" s="41" t="n">
        <v>0</v>
      </c>
      <c r="DH32" s="41" t="n">
        <v>0</v>
      </c>
      <c r="DI32" s="41" t="n">
        <v>0</v>
      </c>
      <c r="DJ32" s="41" t="n">
        <v>0</v>
      </c>
      <c r="DK32" s="41" t="n">
        <v>0</v>
      </c>
      <c r="DL32" s="41" t="n">
        <v>0</v>
      </c>
      <c r="DM32" s="41" t="n">
        <v>0</v>
      </c>
    </row>
    <row r="33">
      <c r="A33" s="42" t="inlineStr">
        <is>
          <t>Поток собственника</t>
        </is>
      </c>
      <c r="B33" s="40">
        <f>SUM(D33:DM33)</f>
        <v/>
      </c>
      <c r="C33" s="37" t="inlineStr">
        <is>
          <t>млн ₽</t>
        </is>
      </c>
      <c r="D33" s="40">
        <f>'CF_Продажа'!D7-'CF_Продажа'!D8-'CF_Продажа'!D13-'CF_Продажа'!D20-'CF_Продажа'!D29+'CF_Продажа'!D17-'CF_Продажа'!D23-'CAPEX'!D7*IF('СРОКИ'!D10&lt;='СРОКИ'!$B$6,1,0)-'CF_Продажа'!D32</f>
        <v/>
      </c>
      <c r="E33" s="40">
        <f>'CF_Продажа'!E7-'CF_Продажа'!E8-'CF_Продажа'!E13-'CF_Продажа'!E20-'CF_Продажа'!E29+'CF_Продажа'!E17-'CF_Продажа'!E23-'CAPEX'!E7*IF('СРОКИ'!E10&lt;='СРОКИ'!$B$6,1,0)-'CF_Продажа'!E32</f>
        <v/>
      </c>
      <c r="F33" s="40">
        <f>'CF_Продажа'!F7-'CF_Продажа'!F8-'CF_Продажа'!F13-'CF_Продажа'!F20-'CF_Продажа'!F29+'CF_Продажа'!F17-'CF_Продажа'!F23-'CAPEX'!F7*IF('СРОКИ'!F10&lt;='СРОКИ'!$B$6,1,0)-'CF_Продажа'!F32</f>
        <v/>
      </c>
      <c r="G33" s="40">
        <f>'CF_Продажа'!G7-'CF_Продажа'!G8-'CF_Продажа'!G13-'CF_Продажа'!G20-'CF_Продажа'!G29+'CF_Продажа'!G17-'CF_Продажа'!G23-'CAPEX'!G7*IF('СРОКИ'!G10&lt;='СРОКИ'!$B$6,1,0)-'CF_Продажа'!G32</f>
        <v/>
      </c>
      <c r="H33" s="40">
        <f>'CF_Продажа'!H7-'CF_Продажа'!H8-'CF_Продажа'!H13-'CF_Продажа'!H20-'CF_Продажа'!H29+'CF_Продажа'!H17-'CF_Продажа'!H23-'CAPEX'!H7*IF('СРОКИ'!H10&lt;='СРОКИ'!$B$6,1,0)-'CF_Продажа'!H32</f>
        <v/>
      </c>
      <c r="I33" s="40">
        <f>'CF_Продажа'!I7-'CF_Продажа'!I8-'CF_Продажа'!I13-'CF_Продажа'!I20-'CF_Продажа'!I29+'CF_Продажа'!I17-'CF_Продажа'!I23-'CAPEX'!I7*IF('СРОКИ'!I10&lt;='СРОКИ'!$B$6,1,0)-'CF_Продажа'!I32</f>
        <v/>
      </c>
      <c r="J33" s="40">
        <f>'CF_Продажа'!J7-'CF_Продажа'!J8-'CF_Продажа'!J13-'CF_Продажа'!J20-'CF_Продажа'!J29+'CF_Продажа'!J17-'CF_Продажа'!J23-'CAPEX'!J7*IF('СРОКИ'!J10&lt;='СРОКИ'!$B$6,1,0)-'CF_Продажа'!J32</f>
        <v/>
      </c>
      <c r="K33" s="40">
        <f>'CF_Продажа'!K7-'CF_Продажа'!K8-'CF_Продажа'!K13-'CF_Продажа'!K20-'CF_Продажа'!K29+'CF_Продажа'!K17-'CF_Продажа'!K23-'CAPEX'!K7*IF('СРОКИ'!K10&lt;='СРОКИ'!$B$6,1,0)-'CF_Продажа'!K32</f>
        <v/>
      </c>
      <c r="L33" s="40">
        <f>'CF_Продажа'!L7-'CF_Продажа'!L8-'CF_Продажа'!L13-'CF_Продажа'!L20-'CF_Продажа'!L29+'CF_Продажа'!L17-'CF_Продажа'!L23-'CAPEX'!L7*IF('СРОКИ'!L10&lt;='СРОКИ'!$B$6,1,0)-'CF_Продажа'!L32</f>
        <v/>
      </c>
      <c r="M33" s="40">
        <f>'CF_Продажа'!M7-'CF_Продажа'!M8-'CF_Продажа'!M13-'CF_Продажа'!M20-'CF_Продажа'!M29+'CF_Продажа'!M17-'CF_Продажа'!M23-'CAPEX'!M7*IF('СРОКИ'!M10&lt;='СРОКИ'!$B$6,1,0)-'CF_Продажа'!M32</f>
        <v/>
      </c>
      <c r="N33" s="40">
        <f>'CF_Продажа'!N7-'CF_Продажа'!N8-'CF_Продажа'!N13-'CF_Продажа'!N20-'CF_Продажа'!N29+'CF_Продажа'!N17-'CF_Продажа'!N23-'CAPEX'!N7*IF('СРОКИ'!N10&lt;='СРОКИ'!$B$6,1,0)-'CF_Продажа'!N32</f>
        <v/>
      </c>
      <c r="O33" s="40">
        <f>'CF_Продажа'!O7-'CF_Продажа'!O8-'CF_Продажа'!O13-'CF_Продажа'!O20-'CF_Продажа'!O29+'CF_Продажа'!O17-'CF_Продажа'!O23-'CAPEX'!O7*IF('СРОКИ'!O10&lt;='СРОКИ'!$B$6,1,0)-'CF_Продажа'!O32</f>
        <v/>
      </c>
      <c r="P33" s="40">
        <f>'CF_Продажа'!P7-'CF_Продажа'!P8-'CF_Продажа'!P13-'CF_Продажа'!P20-'CF_Продажа'!P29+'CF_Продажа'!P17-'CF_Продажа'!P23-'CAPEX'!P7*IF('СРОКИ'!P10&lt;='СРОКИ'!$B$6,1,0)-'CF_Продажа'!P32</f>
        <v/>
      </c>
      <c r="Q33" s="40">
        <f>'CF_Продажа'!Q7-'CF_Продажа'!Q8-'CF_Продажа'!Q13-'CF_Продажа'!Q20-'CF_Продажа'!Q29+'CF_Продажа'!Q17-'CF_Продажа'!Q23-'CAPEX'!Q7*IF('СРОКИ'!Q10&lt;='СРОКИ'!$B$6,1,0)-'CF_Продажа'!Q32</f>
        <v/>
      </c>
      <c r="R33" s="40">
        <f>'CF_Продажа'!R7-'CF_Продажа'!R8-'CF_Продажа'!R13-'CF_Продажа'!R20-'CF_Продажа'!R29+'CF_Продажа'!R17-'CF_Продажа'!R23-'CAPEX'!R7*IF('СРОКИ'!R10&lt;='СРОКИ'!$B$6,1,0)-'CF_Продажа'!R32</f>
        <v/>
      </c>
      <c r="S33" s="40">
        <f>'CF_Продажа'!S7-'CF_Продажа'!S8-'CF_Продажа'!S13-'CF_Продажа'!S20-'CF_Продажа'!S29+'CF_Продажа'!S17-'CF_Продажа'!S23-'CAPEX'!S7*IF('СРОКИ'!S10&lt;='СРОКИ'!$B$6,1,0)-'CF_Продажа'!S32</f>
        <v/>
      </c>
      <c r="T33" s="40">
        <f>'CF_Продажа'!T7-'CF_Продажа'!T8-'CF_Продажа'!T13-'CF_Продажа'!T20-'CF_Продажа'!T29+'CF_Продажа'!T17-'CF_Продажа'!T23-'CAPEX'!T7*IF('СРОКИ'!T10&lt;='СРОКИ'!$B$6,1,0)-'CF_Продажа'!T32</f>
        <v/>
      </c>
      <c r="U33" s="40">
        <f>'CF_Продажа'!U7-'CF_Продажа'!U8-'CF_Продажа'!U13-'CF_Продажа'!U20-'CF_Продажа'!U29+'CF_Продажа'!U17-'CF_Продажа'!U23-'CAPEX'!U7*IF('СРОКИ'!U10&lt;='СРОКИ'!$B$6,1,0)-'CF_Продажа'!U32</f>
        <v/>
      </c>
      <c r="V33" s="40">
        <f>'CF_Продажа'!V7-'CF_Продажа'!V8-'CF_Продажа'!V13-'CF_Продажа'!V20-'CF_Продажа'!V29+'CF_Продажа'!V17-'CF_Продажа'!V23-'CAPEX'!V7*IF('СРОКИ'!V10&lt;='СРОКИ'!$B$6,1,0)-'CF_Продажа'!V32</f>
        <v/>
      </c>
      <c r="W33" s="40">
        <f>'CF_Продажа'!W7-'CF_Продажа'!W8-'CF_Продажа'!W13-'CF_Продажа'!W20-'CF_Продажа'!W29+'CF_Продажа'!W17-'CF_Продажа'!W23-'CAPEX'!W7*IF('СРОКИ'!W10&lt;='СРОКИ'!$B$6,1,0)-'CF_Продажа'!W32</f>
        <v/>
      </c>
      <c r="X33" s="40">
        <f>'CF_Продажа'!X7-'CF_Продажа'!X8-'CF_Продажа'!X13-'CF_Продажа'!X20-'CF_Продажа'!X29+'CF_Продажа'!X17-'CF_Продажа'!X23-'CAPEX'!X7*IF('СРОКИ'!X10&lt;='СРОКИ'!$B$6,1,0)-'CF_Продажа'!X32</f>
        <v/>
      </c>
      <c r="Y33" s="40">
        <f>'CF_Продажа'!Y7-'CF_Продажа'!Y8-'CF_Продажа'!Y13-'CF_Продажа'!Y20-'CF_Продажа'!Y29+'CF_Продажа'!Y17-'CF_Продажа'!Y23-'CAPEX'!Y7*IF('СРОКИ'!Y10&lt;='СРОКИ'!$B$6,1,0)-'CF_Продажа'!Y32</f>
        <v/>
      </c>
      <c r="Z33" s="40">
        <f>'CF_Продажа'!Z7-'CF_Продажа'!Z8-'CF_Продажа'!Z13-'CF_Продажа'!Z20-'CF_Продажа'!Z29+'CF_Продажа'!Z17-'CF_Продажа'!Z23-'CAPEX'!Z7*IF('СРОКИ'!Z10&lt;='СРОКИ'!$B$6,1,0)-'CF_Продажа'!Z32</f>
        <v/>
      </c>
      <c r="AA33" s="40">
        <f>'CF_Продажа'!AA7-'CF_Продажа'!AA8-'CF_Продажа'!AA13-'CF_Продажа'!AA20-'CF_Продажа'!AA29+'CF_Продажа'!AA17-'CF_Продажа'!AA23-'CAPEX'!AA7*IF('СРОКИ'!AA10&lt;='СРОКИ'!$B$6,1,0)-'CF_Продажа'!AA32</f>
        <v/>
      </c>
      <c r="AB33" s="40">
        <f>'CF_Продажа'!AB7-'CF_Продажа'!AB8-'CF_Продажа'!AB13-'CF_Продажа'!AB20-'CF_Продажа'!AB29+'CF_Продажа'!AB17-'CF_Продажа'!AB23-'CAPEX'!AB7*IF('СРОКИ'!AB10&lt;='СРОКИ'!$B$6,1,0)-'CF_Продажа'!AB32</f>
        <v/>
      </c>
      <c r="AC33" s="40">
        <f>'CF_Продажа'!AC7-'CF_Продажа'!AC8-'CF_Продажа'!AC13-'CF_Продажа'!AC20-'CF_Продажа'!AC29+'CF_Продажа'!AC17-'CF_Продажа'!AC23-'CAPEX'!AC7*IF('СРОКИ'!AC10&lt;='СРОКИ'!$B$6,1,0)-'CF_Продажа'!AC32</f>
        <v/>
      </c>
      <c r="AD33" s="40">
        <f>'CF_Продажа'!AD7-'CF_Продажа'!AD8-'CF_Продажа'!AD13-'CF_Продажа'!AD20-'CF_Продажа'!AD29+'CF_Продажа'!AD17-'CF_Продажа'!AD23-'CAPEX'!AD7*IF('СРОКИ'!AD10&lt;='СРОКИ'!$B$6,1,0)-'CF_Продажа'!AD32</f>
        <v/>
      </c>
      <c r="AE33" s="40">
        <f>'CF_Продажа'!AE7-'CF_Продажа'!AE8-'CF_Продажа'!AE13-'CF_Продажа'!AE20-'CF_Продажа'!AE29+'CF_Продажа'!AE17-'CF_Продажа'!AE23-'CAPEX'!AE7*IF('СРОКИ'!AE10&lt;='СРОКИ'!$B$6,1,0)-'CF_Продажа'!AE32</f>
        <v/>
      </c>
      <c r="AF33" s="40">
        <f>'CF_Продажа'!AF7-'CF_Продажа'!AF8-'CF_Продажа'!AF13-'CF_Продажа'!AF20-'CF_Продажа'!AF29+'CF_Продажа'!AF17-'CF_Продажа'!AF23-'CAPEX'!AF7*IF('СРОКИ'!AF10&lt;='СРОКИ'!$B$6,1,0)-'CF_Продажа'!AF32</f>
        <v/>
      </c>
      <c r="AG33" s="40">
        <f>'CF_Продажа'!AG7-'CF_Продажа'!AG8-'CF_Продажа'!AG13-'CF_Продажа'!AG20-'CF_Продажа'!AG29+'CF_Продажа'!AG17-'CF_Продажа'!AG23-'CAPEX'!AG7*IF('СРОКИ'!AG10&lt;='СРОКИ'!$B$6,1,0)-'CF_Продажа'!AG32</f>
        <v/>
      </c>
      <c r="AH33" s="40">
        <f>'CF_Продажа'!AH7-'CF_Продажа'!AH8-'CF_Продажа'!AH13-'CF_Продажа'!AH20-'CF_Продажа'!AH29+'CF_Продажа'!AH17-'CF_Продажа'!AH23-'CAPEX'!AH7*IF('СРОКИ'!AH10&lt;='СРОКИ'!$B$6,1,0)-'CF_Продажа'!AH32</f>
        <v/>
      </c>
      <c r="AI33" s="40">
        <f>'CF_Продажа'!AI7-'CF_Продажа'!AI8-'CF_Продажа'!AI13-'CF_Продажа'!AI20-'CF_Продажа'!AI29+'CF_Продажа'!AI17-'CF_Продажа'!AI23-'CAPEX'!AI7*IF('СРОКИ'!AI10&lt;='СРОКИ'!$B$6,1,0)-'CF_Продажа'!AI32</f>
        <v/>
      </c>
      <c r="AJ33" s="40">
        <f>'CF_Продажа'!AJ7-'CF_Продажа'!AJ8-'CF_Продажа'!AJ13-'CF_Продажа'!AJ20-'CF_Продажа'!AJ29+'CF_Продажа'!AJ17-'CF_Продажа'!AJ23-'CAPEX'!AJ7*IF('СРОКИ'!AJ10&lt;='СРОКИ'!$B$6,1,0)-'CF_Продажа'!AJ32</f>
        <v/>
      </c>
      <c r="AK33" s="40">
        <f>'CF_Продажа'!AK7-'CF_Продажа'!AK8-'CF_Продажа'!AK13-'CF_Продажа'!AK20-'CF_Продажа'!AK29+'CF_Продажа'!AK17-'CF_Продажа'!AK23-'CAPEX'!AK7*IF('СРОКИ'!AK10&lt;='СРОКИ'!$B$6,1,0)-'CF_Продажа'!AK32</f>
        <v/>
      </c>
      <c r="AL33" s="40">
        <f>'CF_Продажа'!AL7-'CF_Продажа'!AL8-'CF_Продажа'!AL13-'CF_Продажа'!AL20-'CF_Продажа'!AL29+'CF_Продажа'!AL17-'CF_Продажа'!AL23-'CAPEX'!AL7*IF('СРОКИ'!AL10&lt;='СРОКИ'!$B$6,1,0)-'CF_Продажа'!AL32</f>
        <v/>
      </c>
      <c r="AM33" s="40">
        <f>'CF_Продажа'!AM7-'CF_Продажа'!AM8-'CF_Продажа'!AM13-'CF_Продажа'!AM20-'CF_Продажа'!AM29+'CF_Продажа'!AM17-'CF_Продажа'!AM23-'CAPEX'!AM7*IF('СРОКИ'!AM10&lt;='СРОКИ'!$B$6,1,0)-'CF_Продажа'!AM32</f>
        <v/>
      </c>
      <c r="AN33" s="40">
        <f>'CF_Продажа'!AN7-'CF_Продажа'!AN8-'CF_Продажа'!AN13-'CF_Продажа'!AN20-'CF_Продажа'!AN29+'CF_Продажа'!AN17-'CF_Продажа'!AN23-'CAPEX'!AN7*IF('СРОКИ'!AN10&lt;='СРОКИ'!$B$6,1,0)-'CF_Продажа'!AN32</f>
        <v/>
      </c>
      <c r="AO33" s="40">
        <f>'CF_Продажа'!AO7-'CF_Продажа'!AO8-'CF_Продажа'!AO13-'CF_Продажа'!AO20-'CF_Продажа'!AO29+'CF_Продажа'!AO17-'CF_Продажа'!AO23-'CAPEX'!AO7*IF('СРОКИ'!AO10&lt;='СРОКИ'!$B$6,1,0)-'CF_Продажа'!AO32</f>
        <v/>
      </c>
      <c r="AP33" s="40">
        <f>'CF_Продажа'!AP7-'CF_Продажа'!AP8-'CF_Продажа'!AP13-'CF_Продажа'!AP20-'CF_Продажа'!AP29+'CF_Продажа'!AP17-'CF_Продажа'!AP23-'CAPEX'!AP7*IF('СРОКИ'!AP10&lt;='СРОКИ'!$B$6,1,0)-'CF_Продажа'!AP32</f>
        <v/>
      </c>
      <c r="AQ33" s="40">
        <f>'CF_Продажа'!AQ7-'CF_Продажа'!AQ8-'CF_Продажа'!AQ13-'CF_Продажа'!AQ20-'CF_Продажа'!AQ29+'CF_Продажа'!AQ17-'CF_Продажа'!AQ23-'CAPEX'!AQ7*IF('СРОКИ'!AQ10&lt;='СРОКИ'!$B$6,1,0)-'CF_Продажа'!AQ32</f>
        <v/>
      </c>
      <c r="AR33" s="40">
        <f>'CF_Продажа'!AR7-'CF_Продажа'!AR8-'CF_Продажа'!AR13-'CF_Продажа'!AR20-'CF_Продажа'!AR29+'CF_Продажа'!AR17-'CF_Продажа'!AR23-'CAPEX'!AR7*IF('СРОКИ'!AR10&lt;='СРОКИ'!$B$6,1,0)-'CF_Продажа'!AR32</f>
        <v/>
      </c>
      <c r="AS33" s="40">
        <f>'CF_Продажа'!AS7-'CF_Продажа'!AS8-'CF_Продажа'!AS13-'CF_Продажа'!AS20-'CF_Продажа'!AS29+'CF_Продажа'!AS17-'CF_Продажа'!AS23-'CAPEX'!AS7*IF('СРОКИ'!AS10&lt;='СРОКИ'!$B$6,1,0)-'CF_Продажа'!AS32</f>
        <v/>
      </c>
      <c r="AT33" s="40">
        <f>'CF_Продажа'!AT7-'CF_Продажа'!AT8-'CF_Продажа'!AT13-'CF_Продажа'!AT20-'CF_Продажа'!AT29+'CF_Продажа'!AT17-'CF_Продажа'!AT23-'CAPEX'!AT7*IF('СРОКИ'!AT10&lt;='СРОКИ'!$B$6,1,0)-'CF_Продажа'!AT32</f>
        <v/>
      </c>
      <c r="AU33" s="40">
        <f>'CF_Продажа'!AU7-'CF_Продажа'!AU8-'CF_Продажа'!AU13-'CF_Продажа'!AU20-'CF_Продажа'!AU29+'CF_Продажа'!AU17-'CF_Продажа'!AU23-'CAPEX'!AU7*IF('СРОКИ'!AU10&lt;='СРОКИ'!$B$6,1,0)-'CF_Продажа'!AU32</f>
        <v/>
      </c>
      <c r="AV33" s="40">
        <f>'CF_Продажа'!AV7-'CF_Продажа'!AV8-'CF_Продажа'!AV13-'CF_Продажа'!AV20-'CF_Продажа'!AV29+'CF_Продажа'!AV17-'CF_Продажа'!AV23-'CAPEX'!AV7*IF('СРОКИ'!AV10&lt;='СРОКИ'!$B$6,1,0)-'CF_Продажа'!AV32</f>
        <v/>
      </c>
      <c r="AW33" s="40">
        <f>'CF_Продажа'!AW7-'CF_Продажа'!AW8-'CF_Продажа'!AW13-'CF_Продажа'!AW20-'CF_Продажа'!AW29+'CF_Продажа'!AW17-'CF_Продажа'!AW23-'CAPEX'!AW7*IF('СРОКИ'!AW10&lt;='СРОКИ'!$B$6,1,0)-'CF_Продажа'!AW32</f>
        <v/>
      </c>
      <c r="AX33" s="40">
        <f>'CF_Продажа'!AX7-'CF_Продажа'!AX8-'CF_Продажа'!AX13-'CF_Продажа'!AX20-'CF_Продажа'!AX29+'CF_Продажа'!AX17-'CF_Продажа'!AX23-'CAPEX'!AX7*IF('СРОКИ'!AX10&lt;='СРОКИ'!$B$6,1,0)-'CF_Продажа'!AX32</f>
        <v/>
      </c>
      <c r="AY33" s="40">
        <f>'CF_Продажа'!AY7-'CF_Продажа'!AY8-'CF_Продажа'!AY13-'CF_Продажа'!AY20-'CF_Продажа'!AY29+'CF_Продажа'!AY17-'CF_Продажа'!AY23-'CAPEX'!AY7*IF('СРОКИ'!AY10&lt;='СРОКИ'!$B$6,1,0)-'CF_Продажа'!AY32</f>
        <v/>
      </c>
      <c r="AZ33" s="40">
        <f>'CF_Продажа'!AZ7-'CF_Продажа'!AZ8-'CF_Продажа'!AZ13-'CF_Продажа'!AZ20-'CF_Продажа'!AZ29+'CF_Продажа'!AZ17-'CF_Продажа'!AZ23-'CAPEX'!AZ7*IF('СРОКИ'!AZ10&lt;='СРОКИ'!$B$6,1,0)-'CF_Продажа'!AZ32</f>
        <v/>
      </c>
      <c r="BA33" s="40">
        <f>'CF_Продажа'!BA7-'CF_Продажа'!BA8-'CF_Продажа'!BA13-'CF_Продажа'!BA20-'CF_Продажа'!BA29+'CF_Продажа'!BA17-'CF_Продажа'!BA23-'CAPEX'!BA7*IF('СРОКИ'!BA10&lt;='СРОКИ'!$B$6,1,0)-'CF_Продажа'!BA32</f>
        <v/>
      </c>
      <c r="BB33" s="40">
        <f>'CF_Продажа'!BB7-'CF_Продажа'!BB8-'CF_Продажа'!BB13-'CF_Продажа'!BB20-'CF_Продажа'!BB29+'CF_Продажа'!BB17-'CF_Продажа'!BB23-'CAPEX'!BB7*IF('СРОКИ'!BB10&lt;='СРОКИ'!$B$6,1,0)-'CF_Продажа'!BB32</f>
        <v/>
      </c>
      <c r="BC33" s="40">
        <f>'CF_Продажа'!BC7-'CF_Продажа'!BC8-'CF_Продажа'!BC13-'CF_Продажа'!BC20-'CF_Продажа'!BC29+'CF_Продажа'!BC17-'CF_Продажа'!BC23-'CAPEX'!BC7*IF('СРОКИ'!BC10&lt;='СРОКИ'!$B$6,1,0)-'CF_Продажа'!BC32</f>
        <v/>
      </c>
      <c r="BD33" s="40">
        <f>'CF_Продажа'!BD7-'CF_Продажа'!BD8-'CF_Продажа'!BD13-'CF_Продажа'!BD20-'CF_Продажа'!BD29+'CF_Продажа'!BD17-'CF_Продажа'!BD23-'CAPEX'!BD7*IF('СРОКИ'!BD10&lt;='СРОКИ'!$B$6,1,0)-'CF_Продажа'!BD32</f>
        <v/>
      </c>
      <c r="BE33" s="40">
        <f>'CF_Продажа'!BE7-'CF_Продажа'!BE8-'CF_Продажа'!BE13-'CF_Продажа'!BE20-'CF_Продажа'!BE29+'CF_Продажа'!BE17-'CF_Продажа'!BE23-'CAPEX'!BE7*IF('СРОКИ'!BE10&lt;='СРОКИ'!$B$6,1,0)-'CF_Продажа'!BE32</f>
        <v/>
      </c>
      <c r="BF33" s="40">
        <f>'CF_Продажа'!BF7-'CF_Продажа'!BF8-'CF_Продажа'!BF13-'CF_Продажа'!BF20-'CF_Продажа'!BF29+'CF_Продажа'!BF17-'CF_Продажа'!BF23-'CAPEX'!BF7*IF('СРОКИ'!BF10&lt;='СРОКИ'!$B$6,1,0)-'CF_Продажа'!BF32</f>
        <v/>
      </c>
      <c r="BG33" s="40">
        <f>'CF_Продажа'!BG7-'CF_Продажа'!BG8-'CF_Продажа'!BG13-'CF_Продажа'!BG20-'CF_Продажа'!BG29+'CF_Продажа'!BG17-'CF_Продажа'!BG23-'CAPEX'!BG7*IF('СРОКИ'!BG10&lt;='СРОКИ'!$B$6,1,0)-'CF_Продажа'!BG32</f>
        <v/>
      </c>
      <c r="BH33" s="40">
        <f>'CF_Продажа'!BH7-'CF_Продажа'!BH8-'CF_Продажа'!BH13-'CF_Продажа'!BH20-'CF_Продажа'!BH29+'CF_Продажа'!BH17-'CF_Продажа'!BH23-'CAPEX'!BH7*IF('СРОКИ'!BH10&lt;='СРОКИ'!$B$6,1,0)-'CF_Продажа'!BH32</f>
        <v/>
      </c>
      <c r="BI33" s="40">
        <f>'CF_Продажа'!BI7-'CF_Продажа'!BI8-'CF_Продажа'!BI13-'CF_Продажа'!BI20-'CF_Продажа'!BI29+'CF_Продажа'!BI17-'CF_Продажа'!BI23-'CAPEX'!BI7*IF('СРОКИ'!BI10&lt;='СРОКИ'!$B$6,1,0)-'CF_Продажа'!BI32</f>
        <v/>
      </c>
      <c r="BJ33" s="40">
        <f>'CF_Продажа'!BJ7-'CF_Продажа'!BJ8-'CF_Продажа'!BJ13-'CF_Продажа'!BJ20-'CF_Продажа'!BJ29+'CF_Продажа'!BJ17-'CF_Продажа'!BJ23-'CAPEX'!BJ7*IF('СРОКИ'!BJ10&lt;='СРОКИ'!$B$6,1,0)-'CF_Продажа'!BJ32</f>
        <v/>
      </c>
      <c r="BK33" s="40">
        <f>'CF_Продажа'!BK7-'CF_Продажа'!BK8-'CF_Продажа'!BK13-'CF_Продажа'!BK20-'CF_Продажа'!BK29+'CF_Продажа'!BK17-'CF_Продажа'!BK23-'CAPEX'!BK7*IF('СРОКИ'!BK10&lt;='СРОКИ'!$B$6,1,0)-'CF_Продажа'!BK32</f>
        <v/>
      </c>
      <c r="BL33" s="40">
        <f>'CF_Продажа'!BL7-'CF_Продажа'!BL8-'CF_Продажа'!BL13-'CF_Продажа'!BL20-'CF_Продажа'!BL29+'CF_Продажа'!BL17-'CF_Продажа'!BL23-'CAPEX'!BL7*IF('СРОКИ'!BL10&lt;='СРОКИ'!$B$6,1,0)-'CF_Продажа'!BL32</f>
        <v/>
      </c>
      <c r="BM33" s="40">
        <f>'CF_Продажа'!BM7-'CF_Продажа'!BM8-'CF_Продажа'!BM13-'CF_Продажа'!BM20-'CF_Продажа'!BM29+'CF_Продажа'!BM17-'CF_Продажа'!BM23-'CAPEX'!BM7*IF('СРОКИ'!BM10&lt;='СРОКИ'!$B$6,1,0)-'CF_Продажа'!BM32</f>
        <v/>
      </c>
      <c r="BN33" s="40">
        <f>'CF_Продажа'!BN7-'CF_Продажа'!BN8-'CF_Продажа'!BN13-'CF_Продажа'!BN20-'CF_Продажа'!BN29+'CF_Продажа'!BN17-'CF_Продажа'!BN23-'CAPEX'!BN7*IF('СРОКИ'!BN10&lt;='СРОКИ'!$B$6,1,0)-'CF_Продажа'!BN32</f>
        <v/>
      </c>
      <c r="BO33" s="40">
        <f>'CF_Продажа'!BO7-'CF_Продажа'!BO8-'CF_Продажа'!BO13-'CF_Продажа'!BO20-'CF_Продажа'!BO29+'CF_Продажа'!BO17-'CF_Продажа'!BO23-'CAPEX'!BO7*IF('СРОКИ'!BO10&lt;='СРОКИ'!$B$6,1,0)-'CF_Продажа'!BO32</f>
        <v/>
      </c>
      <c r="BP33" s="40">
        <f>'CF_Продажа'!BP7-'CF_Продажа'!BP8-'CF_Продажа'!BP13-'CF_Продажа'!BP20-'CF_Продажа'!BP29+'CF_Продажа'!BP17-'CF_Продажа'!BP23-'CAPEX'!BP7*IF('СРОКИ'!BP10&lt;='СРОКИ'!$B$6,1,0)-'CF_Продажа'!BP32</f>
        <v/>
      </c>
      <c r="BQ33" s="40">
        <f>'CF_Продажа'!BQ7-'CF_Продажа'!BQ8-'CF_Продажа'!BQ13-'CF_Продажа'!BQ20-'CF_Продажа'!BQ29+'CF_Продажа'!BQ17-'CF_Продажа'!BQ23-'CAPEX'!BQ7*IF('СРОКИ'!BQ10&lt;='СРОКИ'!$B$6,1,0)-'CF_Продажа'!BQ32</f>
        <v/>
      </c>
      <c r="BR33" s="40">
        <f>'CF_Продажа'!BR7-'CF_Продажа'!BR8-'CF_Продажа'!BR13-'CF_Продажа'!BR20-'CF_Продажа'!BR29+'CF_Продажа'!BR17-'CF_Продажа'!BR23-'CAPEX'!BR7*IF('СРОКИ'!BR10&lt;='СРОКИ'!$B$6,1,0)-'CF_Продажа'!BR32</f>
        <v/>
      </c>
      <c r="BS33" s="40">
        <f>'CF_Продажа'!BS7-'CF_Продажа'!BS8-'CF_Продажа'!BS13-'CF_Продажа'!BS20-'CF_Продажа'!BS29+'CF_Продажа'!BS17-'CF_Продажа'!BS23-'CAPEX'!BS7*IF('СРОКИ'!BS10&lt;='СРОКИ'!$B$6,1,0)-'CF_Продажа'!BS32</f>
        <v/>
      </c>
      <c r="BT33" s="40">
        <f>'CF_Продажа'!BT7-'CF_Продажа'!BT8-'CF_Продажа'!BT13-'CF_Продажа'!BT20-'CF_Продажа'!BT29+'CF_Продажа'!BT17-'CF_Продажа'!BT23-'CAPEX'!BT7*IF('СРОКИ'!BT10&lt;='СРОКИ'!$B$6,1,0)-'CF_Продажа'!BT32</f>
        <v/>
      </c>
      <c r="BU33" s="40">
        <f>'CF_Продажа'!BU7-'CF_Продажа'!BU8-'CF_Продажа'!BU13-'CF_Продажа'!BU20-'CF_Продажа'!BU29+'CF_Продажа'!BU17-'CF_Продажа'!BU23-'CAPEX'!BU7*IF('СРОКИ'!BU10&lt;='СРОКИ'!$B$6,1,0)-'CF_Продажа'!BU32</f>
        <v/>
      </c>
      <c r="BV33" s="40">
        <f>'CF_Продажа'!BV7-'CF_Продажа'!BV8-'CF_Продажа'!BV13-'CF_Продажа'!BV20-'CF_Продажа'!BV29+'CF_Продажа'!BV17-'CF_Продажа'!BV23-'CAPEX'!BV7*IF('СРОКИ'!BV10&lt;='СРОКИ'!$B$6,1,0)-'CF_Продажа'!BV32</f>
        <v/>
      </c>
      <c r="BW33" s="40">
        <f>'CF_Продажа'!BW7-'CF_Продажа'!BW8-'CF_Продажа'!BW13-'CF_Продажа'!BW20-'CF_Продажа'!BW29+'CF_Продажа'!BW17-'CF_Продажа'!BW23-'CAPEX'!BW7*IF('СРОКИ'!BW10&lt;='СРОКИ'!$B$6,1,0)-'CF_Продажа'!BW32</f>
        <v/>
      </c>
      <c r="BX33" s="40">
        <f>'CF_Продажа'!BX7-'CF_Продажа'!BX8-'CF_Продажа'!BX13-'CF_Продажа'!BX20-'CF_Продажа'!BX29+'CF_Продажа'!BX17-'CF_Продажа'!BX23-'CAPEX'!BX7*IF('СРОКИ'!BX10&lt;='СРОКИ'!$B$6,1,0)-'CF_Продажа'!BX32</f>
        <v/>
      </c>
      <c r="BY33" s="40">
        <f>'CF_Продажа'!BY7-'CF_Продажа'!BY8-'CF_Продажа'!BY13-'CF_Продажа'!BY20-'CF_Продажа'!BY29+'CF_Продажа'!BY17-'CF_Продажа'!BY23-'CAPEX'!BY7*IF('СРОКИ'!BY10&lt;='СРОКИ'!$B$6,1,0)-'CF_Продажа'!BY32</f>
        <v/>
      </c>
      <c r="BZ33" s="40">
        <f>'CF_Продажа'!BZ7-'CF_Продажа'!BZ8-'CF_Продажа'!BZ13-'CF_Продажа'!BZ20-'CF_Продажа'!BZ29+'CF_Продажа'!BZ17-'CF_Продажа'!BZ23-'CAPEX'!BZ7*IF('СРОКИ'!BZ10&lt;='СРОКИ'!$B$6,1,0)-'CF_Продажа'!BZ32</f>
        <v/>
      </c>
      <c r="CA33" s="40">
        <f>'CF_Продажа'!CA7-'CF_Продажа'!CA8-'CF_Продажа'!CA13-'CF_Продажа'!CA20-'CF_Продажа'!CA29+'CF_Продажа'!CA17-'CF_Продажа'!CA23-'CAPEX'!CA7*IF('СРОКИ'!CA10&lt;='СРОКИ'!$B$6,1,0)-'CF_Продажа'!CA32</f>
        <v/>
      </c>
      <c r="CB33" s="40">
        <f>'CF_Продажа'!CB7-'CF_Продажа'!CB8-'CF_Продажа'!CB13-'CF_Продажа'!CB20-'CF_Продажа'!CB29+'CF_Продажа'!CB17-'CF_Продажа'!CB23-'CAPEX'!CB7*IF('СРОКИ'!CB10&lt;='СРОКИ'!$B$6,1,0)-'CF_Продажа'!CB32</f>
        <v/>
      </c>
      <c r="CC33" s="40">
        <f>'CF_Продажа'!CC7-'CF_Продажа'!CC8-'CF_Продажа'!CC13-'CF_Продажа'!CC20-'CF_Продажа'!CC29+'CF_Продажа'!CC17-'CF_Продажа'!CC23-'CAPEX'!CC7*IF('СРОКИ'!CC10&lt;='СРОКИ'!$B$6,1,0)-'CF_Продажа'!CC32</f>
        <v/>
      </c>
      <c r="CD33" s="40">
        <f>'CF_Продажа'!CD7-'CF_Продажа'!CD8-'CF_Продажа'!CD13-'CF_Продажа'!CD20-'CF_Продажа'!CD29+'CF_Продажа'!CD17-'CF_Продажа'!CD23-'CAPEX'!CD7*IF('СРОКИ'!CD10&lt;='СРОКИ'!$B$6,1,0)-'CF_Продажа'!CD32</f>
        <v/>
      </c>
      <c r="CE33" s="40">
        <f>'CF_Продажа'!CE7-'CF_Продажа'!CE8-'CF_Продажа'!CE13-'CF_Продажа'!CE20-'CF_Продажа'!CE29+'CF_Продажа'!CE17-'CF_Продажа'!CE23-'CAPEX'!CE7*IF('СРОКИ'!CE10&lt;='СРОКИ'!$B$6,1,0)-'CF_Продажа'!CE32</f>
        <v/>
      </c>
      <c r="CF33" s="40">
        <f>'CF_Продажа'!CF7-'CF_Продажа'!CF8-'CF_Продажа'!CF13-'CF_Продажа'!CF20-'CF_Продажа'!CF29+'CF_Продажа'!CF17-'CF_Продажа'!CF23-'CAPEX'!CF7*IF('СРОКИ'!CF10&lt;='СРОКИ'!$B$6,1,0)-'CF_Продажа'!CF32</f>
        <v/>
      </c>
      <c r="CG33" s="40">
        <f>'CF_Продажа'!CG7-'CF_Продажа'!CG8-'CF_Продажа'!CG13-'CF_Продажа'!CG20-'CF_Продажа'!CG29+'CF_Продажа'!CG17-'CF_Продажа'!CG23-'CAPEX'!CG7*IF('СРОКИ'!CG10&lt;='СРОКИ'!$B$6,1,0)-'CF_Продажа'!CG32</f>
        <v/>
      </c>
      <c r="CH33" s="40">
        <f>'CF_Продажа'!CH7-'CF_Продажа'!CH8-'CF_Продажа'!CH13-'CF_Продажа'!CH20-'CF_Продажа'!CH29+'CF_Продажа'!CH17-'CF_Продажа'!CH23-'CAPEX'!CH7*IF('СРОКИ'!CH10&lt;='СРОКИ'!$B$6,1,0)-'CF_Продажа'!CH32</f>
        <v/>
      </c>
      <c r="CI33" s="40">
        <f>'CF_Продажа'!CI7-'CF_Продажа'!CI8-'CF_Продажа'!CI13-'CF_Продажа'!CI20-'CF_Продажа'!CI29+'CF_Продажа'!CI17-'CF_Продажа'!CI23-'CAPEX'!CI7*IF('СРОКИ'!CI10&lt;='СРОКИ'!$B$6,1,0)-'CF_Продажа'!CI32</f>
        <v/>
      </c>
      <c r="CJ33" s="40">
        <f>'CF_Продажа'!CJ7-'CF_Продажа'!CJ8-'CF_Продажа'!CJ13-'CF_Продажа'!CJ20-'CF_Продажа'!CJ29+'CF_Продажа'!CJ17-'CF_Продажа'!CJ23-'CAPEX'!CJ7*IF('СРОКИ'!CJ10&lt;='СРОКИ'!$B$6,1,0)-'CF_Продажа'!CJ32</f>
        <v/>
      </c>
      <c r="CK33" s="40">
        <f>'CF_Продажа'!CK7-'CF_Продажа'!CK8-'CF_Продажа'!CK13-'CF_Продажа'!CK20-'CF_Продажа'!CK29+'CF_Продажа'!CK17-'CF_Продажа'!CK23-'CAPEX'!CK7*IF('СРОКИ'!CK10&lt;='СРОКИ'!$B$6,1,0)-'CF_Продажа'!CK32</f>
        <v/>
      </c>
      <c r="CL33" s="40">
        <f>'CF_Продажа'!CL7-'CF_Продажа'!CL8-'CF_Продажа'!CL13-'CF_Продажа'!CL20-'CF_Продажа'!CL29+'CF_Продажа'!CL17-'CF_Продажа'!CL23-'CAPEX'!CL7*IF('СРОКИ'!CL10&lt;='СРОКИ'!$B$6,1,0)-'CF_Продажа'!CL32</f>
        <v/>
      </c>
      <c r="CM33" s="40">
        <f>'CF_Продажа'!CM7-'CF_Продажа'!CM8-'CF_Продажа'!CM13-'CF_Продажа'!CM20-'CF_Продажа'!CM29+'CF_Продажа'!CM17-'CF_Продажа'!CM23-'CAPEX'!CM7*IF('СРОКИ'!CM10&lt;='СРОКИ'!$B$6,1,0)-'CF_Продажа'!CM32</f>
        <v/>
      </c>
      <c r="CN33" s="40">
        <f>'CF_Продажа'!CN7-'CF_Продажа'!CN8-'CF_Продажа'!CN13-'CF_Продажа'!CN20-'CF_Продажа'!CN29+'CF_Продажа'!CN17-'CF_Продажа'!CN23-'CAPEX'!CN7*IF('СРОКИ'!CN10&lt;='СРОКИ'!$B$6,1,0)-'CF_Продажа'!CN32</f>
        <v/>
      </c>
      <c r="CO33" s="40">
        <f>'CF_Продажа'!CO7-'CF_Продажа'!CO8-'CF_Продажа'!CO13-'CF_Продажа'!CO20-'CF_Продажа'!CO29+'CF_Продажа'!CO17-'CF_Продажа'!CO23-'CAPEX'!CO7*IF('СРОКИ'!CO10&lt;='СРОКИ'!$B$6,1,0)-'CF_Продажа'!CO32</f>
        <v/>
      </c>
      <c r="CP33" s="40">
        <f>'CF_Продажа'!CP7-'CF_Продажа'!CP8-'CF_Продажа'!CP13-'CF_Продажа'!CP20-'CF_Продажа'!CP29+'CF_Продажа'!CP17-'CF_Продажа'!CP23-'CAPEX'!CP7*IF('СРОКИ'!CP10&lt;='СРОКИ'!$B$6,1,0)-'CF_Продажа'!CP32</f>
        <v/>
      </c>
      <c r="CQ33" s="40">
        <f>'CF_Продажа'!CQ7-'CF_Продажа'!CQ8-'CF_Продажа'!CQ13-'CF_Продажа'!CQ20-'CF_Продажа'!CQ29+'CF_Продажа'!CQ17-'CF_Продажа'!CQ23-'CAPEX'!CQ7*IF('СРОКИ'!CQ10&lt;='СРОКИ'!$B$6,1,0)-'CF_Продажа'!CQ32</f>
        <v/>
      </c>
      <c r="CR33" s="40">
        <f>'CF_Продажа'!CR7-'CF_Продажа'!CR8-'CF_Продажа'!CR13-'CF_Продажа'!CR20-'CF_Продажа'!CR29+'CF_Продажа'!CR17-'CF_Продажа'!CR23-'CAPEX'!CR7*IF('СРОКИ'!CR10&lt;='СРОКИ'!$B$6,1,0)-'CF_Продажа'!CR32</f>
        <v/>
      </c>
      <c r="CS33" s="40">
        <f>'CF_Продажа'!CS7-'CF_Продажа'!CS8-'CF_Продажа'!CS13-'CF_Продажа'!CS20-'CF_Продажа'!CS29+'CF_Продажа'!CS17-'CF_Продажа'!CS23-'CAPEX'!CS7*IF('СРОКИ'!CS10&lt;='СРОКИ'!$B$6,1,0)-'CF_Продажа'!CS32</f>
        <v/>
      </c>
      <c r="CT33" s="40">
        <f>'CF_Продажа'!CT7-'CF_Продажа'!CT8-'CF_Продажа'!CT13-'CF_Продажа'!CT20-'CF_Продажа'!CT29+'CF_Продажа'!CT17-'CF_Продажа'!CT23-'CAPEX'!CT7*IF('СРОКИ'!CT10&lt;='СРОКИ'!$B$6,1,0)-'CF_Продажа'!CT32</f>
        <v/>
      </c>
      <c r="CU33" s="40">
        <f>'CF_Продажа'!CU7-'CF_Продажа'!CU8-'CF_Продажа'!CU13-'CF_Продажа'!CU20-'CF_Продажа'!CU29+'CF_Продажа'!CU17-'CF_Продажа'!CU23-'CAPEX'!CU7*IF('СРОКИ'!CU10&lt;='СРОКИ'!$B$6,1,0)-'CF_Продажа'!CU32</f>
        <v/>
      </c>
      <c r="CV33" s="40">
        <f>'CF_Продажа'!CV7-'CF_Продажа'!CV8-'CF_Продажа'!CV13-'CF_Продажа'!CV20-'CF_Продажа'!CV29+'CF_Продажа'!CV17-'CF_Продажа'!CV23-'CAPEX'!CV7*IF('СРОКИ'!CV10&lt;='СРОКИ'!$B$6,1,0)-'CF_Продажа'!CV32</f>
        <v/>
      </c>
      <c r="CW33" s="40">
        <f>'CF_Продажа'!CW7-'CF_Продажа'!CW8-'CF_Продажа'!CW13-'CF_Продажа'!CW20-'CF_Продажа'!CW29+'CF_Продажа'!CW17-'CF_Продажа'!CW23-'CAPEX'!CW7*IF('СРОКИ'!CW10&lt;='СРОКИ'!$B$6,1,0)-'CF_Продажа'!CW32</f>
        <v/>
      </c>
      <c r="CX33" s="40">
        <f>'CF_Продажа'!CX7-'CF_Продажа'!CX8-'CF_Продажа'!CX13-'CF_Продажа'!CX20-'CF_Продажа'!CX29+'CF_Продажа'!CX17-'CF_Продажа'!CX23-'CAPEX'!CX7*IF('СРОКИ'!CX10&lt;='СРОКИ'!$B$6,1,0)-'CF_Продажа'!CX32</f>
        <v/>
      </c>
      <c r="CY33" s="40">
        <f>'CF_Продажа'!CY7-'CF_Продажа'!CY8-'CF_Продажа'!CY13-'CF_Продажа'!CY20-'CF_Продажа'!CY29+'CF_Продажа'!CY17-'CF_Продажа'!CY23-'CAPEX'!CY7*IF('СРОКИ'!CY10&lt;='СРОКИ'!$B$6,1,0)-'CF_Продажа'!CY32</f>
        <v/>
      </c>
      <c r="CZ33" s="40">
        <f>'CF_Продажа'!CZ7-'CF_Продажа'!CZ8-'CF_Продажа'!CZ13-'CF_Продажа'!CZ20-'CF_Продажа'!CZ29+'CF_Продажа'!CZ17-'CF_Продажа'!CZ23-'CAPEX'!CZ7*IF('СРОКИ'!CZ10&lt;='СРОКИ'!$B$6,1,0)-'CF_Продажа'!CZ32</f>
        <v/>
      </c>
      <c r="DA33" s="40">
        <f>'CF_Продажа'!DA7-'CF_Продажа'!DA8-'CF_Продажа'!DA13-'CF_Продажа'!DA20-'CF_Продажа'!DA29+'CF_Продажа'!DA17-'CF_Продажа'!DA23-'CAPEX'!DA7*IF('СРОКИ'!DA10&lt;='СРОКИ'!$B$6,1,0)-'CF_Продажа'!DA32</f>
        <v/>
      </c>
      <c r="DB33" s="40">
        <f>'CF_Продажа'!DB7-'CF_Продажа'!DB8-'CF_Продажа'!DB13-'CF_Продажа'!DB20-'CF_Продажа'!DB29+'CF_Продажа'!DB17-'CF_Продажа'!DB23-'CAPEX'!DB7*IF('СРОКИ'!DB10&lt;='СРОКИ'!$B$6,1,0)-'CF_Продажа'!DB32</f>
        <v/>
      </c>
      <c r="DC33" s="40">
        <f>'CF_Продажа'!DC7-'CF_Продажа'!DC8-'CF_Продажа'!DC13-'CF_Продажа'!DC20-'CF_Продажа'!DC29+'CF_Продажа'!DC17-'CF_Продажа'!DC23-'CAPEX'!DC7*IF('СРОКИ'!DC10&lt;='СРОКИ'!$B$6,1,0)-'CF_Продажа'!DC32</f>
        <v/>
      </c>
      <c r="DD33" s="40">
        <f>'CF_Продажа'!DD7-'CF_Продажа'!DD8-'CF_Продажа'!DD13-'CF_Продажа'!DD20-'CF_Продажа'!DD29+'CF_Продажа'!DD17-'CF_Продажа'!DD23-'CAPEX'!DD7*IF('СРОКИ'!DD10&lt;='СРОКИ'!$B$6,1,0)-'CF_Продажа'!DD32</f>
        <v/>
      </c>
      <c r="DE33" s="40">
        <f>'CF_Продажа'!DE7-'CF_Продажа'!DE8-'CF_Продажа'!DE13-'CF_Продажа'!DE20-'CF_Продажа'!DE29+'CF_Продажа'!DE17-'CF_Продажа'!DE23-'CAPEX'!DE7*IF('СРОКИ'!DE10&lt;='СРОКИ'!$B$6,1,0)-'CF_Продажа'!DE32</f>
        <v/>
      </c>
      <c r="DF33" s="40">
        <f>'CF_Продажа'!DF7-'CF_Продажа'!DF8-'CF_Продажа'!DF13-'CF_Продажа'!DF20-'CF_Продажа'!DF29+'CF_Продажа'!DF17-'CF_Продажа'!DF23-'CAPEX'!DF7*IF('СРОКИ'!DF10&lt;='СРОКИ'!$B$6,1,0)-'CF_Продажа'!DF32</f>
        <v/>
      </c>
      <c r="DG33" s="40">
        <f>'CF_Продажа'!DG7-'CF_Продажа'!DG8-'CF_Продажа'!DG13-'CF_Продажа'!DG20-'CF_Продажа'!DG29+'CF_Продажа'!DG17-'CF_Продажа'!DG23-'CAPEX'!DG7*IF('СРОКИ'!DG10&lt;='СРОКИ'!$B$6,1,0)-'CF_Продажа'!DG32</f>
        <v/>
      </c>
      <c r="DH33" s="40">
        <f>'CF_Продажа'!DH7-'CF_Продажа'!DH8-'CF_Продажа'!DH13-'CF_Продажа'!DH20-'CF_Продажа'!DH29+'CF_Продажа'!DH17-'CF_Продажа'!DH23-'CAPEX'!DH7*IF('СРОКИ'!DH10&lt;='СРОКИ'!$B$6,1,0)-'CF_Продажа'!DH32</f>
        <v/>
      </c>
      <c r="DI33" s="40">
        <f>'CF_Продажа'!DI7-'CF_Продажа'!DI8-'CF_Продажа'!DI13-'CF_Продажа'!DI20-'CF_Продажа'!DI29+'CF_Продажа'!DI17-'CF_Продажа'!DI23-'CAPEX'!DI7*IF('СРОКИ'!DI10&lt;='СРОКИ'!$B$6,1,0)-'CF_Продажа'!DI32</f>
        <v/>
      </c>
      <c r="DJ33" s="40">
        <f>'CF_Продажа'!DJ7-'CF_Продажа'!DJ8-'CF_Продажа'!DJ13-'CF_Продажа'!DJ20-'CF_Продажа'!DJ29+'CF_Продажа'!DJ17-'CF_Продажа'!DJ23-'CAPEX'!DJ7*IF('СРОКИ'!DJ10&lt;='СРОКИ'!$B$6,1,0)-'CF_Продажа'!DJ32</f>
        <v/>
      </c>
      <c r="DK33" s="40">
        <f>'CF_Продажа'!DK7-'CF_Продажа'!DK8-'CF_Продажа'!DK13-'CF_Продажа'!DK20-'CF_Продажа'!DK29+'CF_Продажа'!DK17-'CF_Продажа'!DK23-'CAPEX'!DK7*IF('СРОКИ'!DK10&lt;='СРОКИ'!$B$6,1,0)-'CF_Продажа'!DK32</f>
        <v/>
      </c>
      <c r="DL33" s="40">
        <f>'CF_Продажа'!DL7-'CF_Продажа'!DL8-'CF_Продажа'!DL13-'CF_Продажа'!DL20-'CF_Продажа'!DL29+'CF_Продажа'!DL17-'CF_Продажа'!DL23-'CAPEX'!DL7*IF('СРОКИ'!DL10&lt;='СРОКИ'!$B$6,1,0)-'CF_Продажа'!DL32</f>
        <v/>
      </c>
      <c r="DM33" s="40">
        <f>'CF_Продажа'!DM7-'CF_Продажа'!DM8-'CF_Продажа'!DM13-'CF_Продажа'!DM20-'CF_Продажа'!DM29+'CF_Продажа'!DM17-'CF_Продажа'!DM23-'CAPEX'!DM7*IF('СРОКИ'!DM10&lt;='СРОКИ'!$B$6,1,0)-'CF_Продажа'!DM32</f>
        <v/>
      </c>
    </row>
    <row r="34">
      <c r="A34" s="36" t="inlineStr">
        <is>
          <t>Поток собственника нарастающим</t>
        </is>
      </c>
      <c r="B34" s="10" t="n"/>
      <c r="C34" s="37" t="inlineStr">
        <is>
          <t>млн ₽</t>
        </is>
      </c>
      <c r="D34" s="47">
        <f>'CF_Продажа'!D33</f>
        <v/>
      </c>
      <c r="E34" s="47">
        <f>'CF_Продажа'!D34+'CF_Продажа'!E33</f>
        <v/>
      </c>
      <c r="F34" s="47">
        <f>'CF_Продажа'!E34+'CF_Продажа'!F33</f>
        <v/>
      </c>
      <c r="G34" s="47">
        <f>'CF_Продажа'!F34+'CF_Продажа'!G33</f>
        <v/>
      </c>
      <c r="H34" s="47">
        <f>'CF_Продажа'!G34+'CF_Продажа'!H33</f>
        <v/>
      </c>
      <c r="I34" s="47">
        <f>'CF_Продажа'!H34+'CF_Продажа'!I33</f>
        <v/>
      </c>
      <c r="J34" s="47">
        <f>'CF_Продажа'!I34+'CF_Продажа'!J33</f>
        <v/>
      </c>
      <c r="K34" s="47">
        <f>'CF_Продажа'!J34+'CF_Продажа'!K33</f>
        <v/>
      </c>
      <c r="L34" s="47">
        <f>'CF_Продажа'!K34+'CF_Продажа'!L33</f>
        <v/>
      </c>
      <c r="M34" s="47">
        <f>'CF_Продажа'!L34+'CF_Продажа'!M33</f>
        <v/>
      </c>
      <c r="N34" s="47">
        <f>'CF_Продажа'!M34+'CF_Продажа'!N33</f>
        <v/>
      </c>
      <c r="O34" s="47">
        <f>'CF_Продажа'!N34+'CF_Продажа'!O33</f>
        <v/>
      </c>
      <c r="P34" s="47">
        <f>'CF_Продажа'!O34+'CF_Продажа'!P33</f>
        <v/>
      </c>
      <c r="Q34" s="47">
        <f>'CF_Продажа'!P34+'CF_Продажа'!Q33</f>
        <v/>
      </c>
      <c r="R34" s="47">
        <f>'CF_Продажа'!Q34+'CF_Продажа'!R33</f>
        <v/>
      </c>
      <c r="S34" s="47">
        <f>'CF_Продажа'!R34+'CF_Продажа'!S33</f>
        <v/>
      </c>
      <c r="T34" s="47">
        <f>'CF_Продажа'!S34+'CF_Продажа'!T33</f>
        <v/>
      </c>
      <c r="U34" s="47">
        <f>'CF_Продажа'!T34+'CF_Продажа'!U33</f>
        <v/>
      </c>
      <c r="V34" s="47">
        <f>'CF_Продажа'!U34+'CF_Продажа'!V33</f>
        <v/>
      </c>
      <c r="W34" s="47">
        <f>'CF_Продажа'!V34+'CF_Продажа'!W33</f>
        <v/>
      </c>
      <c r="X34" s="47">
        <f>'CF_Продажа'!W34+'CF_Продажа'!X33</f>
        <v/>
      </c>
      <c r="Y34" s="47">
        <f>'CF_Продажа'!X34+'CF_Продажа'!Y33</f>
        <v/>
      </c>
      <c r="Z34" s="47">
        <f>'CF_Продажа'!Y34+'CF_Продажа'!Z33</f>
        <v/>
      </c>
      <c r="AA34" s="47">
        <f>'CF_Продажа'!Z34+'CF_Продажа'!AA33</f>
        <v/>
      </c>
      <c r="AB34" s="47">
        <f>'CF_Продажа'!AA34+'CF_Продажа'!AB33</f>
        <v/>
      </c>
      <c r="AC34" s="47">
        <f>'CF_Продажа'!AB34+'CF_Продажа'!AC33</f>
        <v/>
      </c>
      <c r="AD34" s="47">
        <f>'CF_Продажа'!AC34+'CF_Продажа'!AD33</f>
        <v/>
      </c>
      <c r="AE34" s="47">
        <f>'CF_Продажа'!AD34+'CF_Продажа'!AE33</f>
        <v/>
      </c>
      <c r="AF34" s="47">
        <f>'CF_Продажа'!AE34+'CF_Продажа'!AF33</f>
        <v/>
      </c>
      <c r="AG34" s="47">
        <f>'CF_Продажа'!AF34+'CF_Продажа'!AG33</f>
        <v/>
      </c>
      <c r="AH34" s="47">
        <f>'CF_Продажа'!AG34+'CF_Продажа'!AH33</f>
        <v/>
      </c>
      <c r="AI34" s="47">
        <f>'CF_Продажа'!AH34+'CF_Продажа'!AI33</f>
        <v/>
      </c>
      <c r="AJ34" s="47">
        <f>'CF_Продажа'!AI34+'CF_Продажа'!AJ33</f>
        <v/>
      </c>
      <c r="AK34" s="47">
        <f>'CF_Продажа'!AJ34+'CF_Продажа'!AK33</f>
        <v/>
      </c>
      <c r="AL34" s="47">
        <f>'CF_Продажа'!AK34+'CF_Продажа'!AL33</f>
        <v/>
      </c>
      <c r="AM34" s="47">
        <f>'CF_Продажа'!AL34+'CF_Продажа'!AM33</f>
        <v/>
      </c>
      <c r="AN34" s="47">
        <f>'CF_Продажа'!AM34+'CF_Продажа'!AN33</f>
        <v/>
      </c>
      <c r="AO34" s="47">
        <f>'CF_Продажа'!AN34+'CF_Продажа'!AO33</f>
        <v/>
      </c>
      <c r="AP34" s="47">
        <f>'CF_Продажа'!AO34+'CF_Продажа'!AP33</f>
        <v/>
      </c>
      <c r="AQ34" s="47">
        <f>'CF_Продажа'!AP34+'CF_Продажа'!AQ33</f>
        <v/>
      </c>
      <c r="AR34" s="47">
        <f>'CF_Продажа'!AQ34+'CF_Продажа'!AR33</f>
        <v/>
      </c>
      <c r="AS34" s="47">
        <f>'CF_Продажа'!AR34+'CF_Продажа'!AS33</f>
        <v/>
      </c>
      <c r="AT34" s="47">
        <f>'CF_Продажа'!AS34+'CF_Продажа'!AT33</f>
        <v/>
      </c>
      <c r="AU34" s="47">
        <f>'CF_Продажа'!AT34+'CF_Продажа'!AU33</f>
        <v/>
      </c>
      <c r="AV34" s="47">
        <f>'CF_Продажа'!AU34+'CF_Продажа'!AV33</f>
        <v/>
      </c>
      <c r="AW34" s="47">
        <f>'CF_Продажа'!AV34+'CF_Продажа'!AW33</f>
        <v/>
      </c>
      <c r="AX34" s="47">
        <f>'CF_Продажа'!AW34+'CF_Продажа'!AX33</f>
        <v/>
      </c>
      <c r="AY34" s="47">
        <f>'CF_Продажа'!AX34+'CF_Продажа'!AY33</f>
        <v/>
      </c>
      <c r="AZ34" s="47">
        <f>'CF_Продажа'!AY34+'CF_Продажа'!AZ33</f>
        <v/>
      </c>
      <c r="BA34" s="47">
        <f>'CF_Продажа'!AZ34+'CF_Продажа'!BA33</f>
        <v/>
      </c>
      <c r="BB34" s="47">
        <f>'CF_Продажа'!BA34+'CF_Продажа'!BB33</f>
        <v/>
      </c>
      <c r="BC34" s="47">
        <f>'CF_Продажа'!BB34+'CF_Продажа'!BC33</f>
        <v/>
      </c>
      <c r="BD34" s="47">
        <f>'CF_Продажа'!BC34+'CF_Продажа'!BD33</f>
        <v/>
      </c>
      <c r="BE34" s="47">
        <f>'CF_Продажа'!BD34+'CF_Продажа'!BE33</f>
        <v/>
      </c>
      <c r="BF34" s="47">
        <f>'CF_Продажа'!BE34+'CF_Продажа'!BF33</f>
        <v/>
      </c>
      <c r="BG34" s="47">
        <f>'CF_Продажа'!BF34+'CF_Продажа'!BG33</f>
        <v/>
      </c>
      <c r="BH34" s="47">
        <f>'CF_Продажа'!BG34+'CF_Продажа'!BH33</f>
        <v/>
      </c>
      <c r="BI34" s="47">
        <f>'CF_Продажа'!BH34+'CF_Продажа'!BI33</f>
        <v/>
      </c>
      <c r="BJ34" s="47">
        <f>'CF_Продажа'!BI34+'CF_Продажа'!BJ33</f>
        <v/>
      </c>
      <c r="BK34" s="47">
        <f>'CF_Продажа'!BJ34+'CF_Продажа'!BK33</f>
        <v/>
      </c>
      <c r="BL34" s="47">
        <f>'CF_Продажа'!BK34+'CF_Продажа'!BL33</f>
        <v/>
      </c>
      <c r="BM34" s="47">
        <f>'CF_Продажа'!BL34+'CF_Продажа'!BM33</f>
        <v/>
      </c>
      <c r="BN34" s="47">
        <f>'CF_Продажа'!BM34+'CF_Продажа'!BN33</f>
        <v/>
      </c>
      <c r="BO34" s="47">
        <f>'CF_Продажа'!BN34+'CF_Продажа'!BO33</f>
        <v/>
      </c>
      <c r="BP34" s="47">
        <f>'CF_Продажа'!BO34+'CF_Продажа'!BP33</f>
        <v/>
      </c>
      <c r="BQ34" s="47">
        <f>'CF_Продажа'!BP34+'CF_Продажа'!BQ33</f>
        <v/>
      </c>
      <c r="BR34" s="47">
        <f>'CF_Продажа'!BQ34+'CF_Продажа'!BR33</f>
        <v/>
      </c>
      <c r="BS34" s="47">
        <f>'CF_Продажа'!BR34+'CF_Продажа'!BS33</f>
        <v/>
      </c>
      <c r="BT34" s="47">
        <f>'CF_Продажа'!BS34+'CF_Продажа'!BT33</f>
        <v/>
      </c>
      <c r="BU34" s="47">
        <f>'CF_Продажа'!BT34+'CF_Продажа'!BU33</f>
        <v/>
      </c>
      <c r="BV34" s="47">
        <f>'CF_Продажа'!BU34+'CF_Продажа'!BV33</f>
        <v/>
      </c>
      <c r="BW34" s="47">
        <f>'CF_Продажа'!BV34+'CF_Продажа'!BW33</f>
        <v/>
      </c>
      <c r="BX34" s="47">
        <f>'CF_Продажа'!BW34+'CF_Продажа'!BX33</f>
        <v/>
      </c>
      <c r="BY34" s="47">
        <f>'CF_Продажа'!BX34+'CF_Продажа'!BY33</f>
        <v/>
      </c>
      <c r="BZ34" s="47">
        <f>'CF_Продажа'!BY34+'CF_Продажа'!BZ33</f>
        <v/>
      </c>
      <c r="CA34" s="47">
        <f>'CF_Продажа'!BZ34+'CF_Продажа'!CA33</f>
        <v/>
      </c>
      <c r="CB34" s="47">
        <f>'CF_Продажа'!CA34+'CF_Продажа'!CB33</f>
        <v/>
      </c>
      <c r="CC34" s="47">
        <f>'CF_Продажа'!CB34+'CF_Продажа'!CC33</f>
        <v/>
      </c>
      <c r="CD34" s="47">
        <f>'CF_Продажа'!CC34+'CF_Продажа'!CD33</f>
        <v/>
      </c>
      <c r="CE34" s="47">
        <f>'CF_Продажа'!CD34+'CF_Продажа'!CE33</f>
        <v/>
      </c>
      <c r="CF34" s="47">
        <f>'CF_Продажа'!CE34+'CF_Продажа'!CF33</f>
        <v/>
      </c>
      <c r="CG34" s="47">
        <f>'CF_Продажа'!CF34+'CF_Продажа'!CG33</f>
        <v/>
      </c>
      <c r="CH34" s="47">
        <f>'CF_Продажа'!CG34+'CF_Продажа'!CH33</f>
        <v/>
      </c>
      <c r="CI34" s="47">
        <f>'CF_Продажа'!CH34+'CF_Продажа'!CI33</f>
        <v/>
      </c>
      <c r="CJ34" s="47">
        <f>'CF_Продажа'!CI34+'CF_Продажа'!CJ33</f>
        <v/>
      </c>
      <c r="CK34" s="47">
        <f>'CF_Продажа'!CJ34+'CF_Продажа'!CK33</f>
        <v/>
      </c>
      <c r="CL34" s="47">
        <f>'CF_Продажа'!CK34+'CF_Продажа'!CL33</f>
        <v/>
      </c>
      <c r="CM34" s="47">
        <f>'CF_Продажа'!CL34+'CF_Продажа'!CM33</f>
        <v/>
      </c>
      <c r="CN34" s="47">
        <f>'CF_Продажа'!CM34+'CF_Продажа'!CN33</f>
        <v/>
      </c>
      <c r="CO34" s="47">
        <f>'CF_Продажа'!CN34+'CF_Продажа'!CO33</f>
        <v/>
      </c>
      <c r="CP34" s="47">
        <f>'CF_Продажа'!CO34+'CF_Продажа'!CP33</f>
        <v/>
      </c>
      <c r="CQ34" s="47">
        <f>'CF_Продажа'!CP34+'CF_Продажа'!CQ33</f>
        <v/>
      </c>
      <c r="CR34" s="47">
        <f>'CF_Продажа'!CQ34+'CF_Продажа'!CR33</f>
        <v/>
      </c>
      <c r="CS34" s="47">
        <f>'CF_Продажа'!CR34+'CF_Продажа'!CS33</f>
        <v/>
      </c>
      <c r="CT34" s="47">
        <f>'CF_Продажа'!CS34+'CF_Продажа'!CT33</f>
        <v/>
      </c>
      <c r="CU34" s="47">
        <f>'CF_Продажа'!CT34+'CF_Продажа'!CU33</f>
        <v/>
      </c>
      <c r="CV34" s="47">
        <f>'CF_Продажа'!CU34+'CF_Продажа'!CV33</f>
        <v/>
      </c>
      <c r="CW34" s="47">
        <f>'CF_Продажа'!CV34+'CF_Продажа'!CW33</f>
        <v/>
      </c>
      <c r="CX34" s="47">
        <f>'CF_Продажа'!CW34+'CF_Продажа'!CX33</f>
        <v/>
      </c>
      <c r="CY34" s="47">
        <f>'CF_Продажа'!CX34+'CF_Продажа'!CY33</f>
        <v/>
      </c>
      <c r="CZ34" s="47">
        <f>'CF_Продажа'!CY34+'CF_Продажа'!CZ33</f>
        <v/>
      </c>
      <c r="DA34" s="47">
        <f>'CF_Продажа'!CZ34+'CF_Продажа'!DA33</f>
        <v/>
      </c>
      <c r="DB34" s="47">
        <f>'CF_Продажа'!DA34+'CF_Продажа'!DB33</f>
        <v/>
      </c>
      <c r="DC34" s="47">
        <f>'CF_Продажа'!DB34+'CF_Продажа'!DC33</f>
        <v/>
      </c>
      <c r="DD34" s="47">
        <f>'CF_Продажа'!DC34+'CF_Продажа'!DD33</f>
        <v/>
      </c>
      <c r="DE34" s="47">
        <f>'CF_Продажа'!DD34+'CF_Продажа'!DE33</f>
        <v/>
      </c>
      <c r="DF34" s="47">
        <f>'CF_Продажа'!DE34+'CF_Продажа'!DF33</f>
        <v/>
      </c>
      <c r="DG34" s="47">
        <f>'CF_Продажа'!DF34+'CF_Продажа'!DG33</f>
        <v/>
      </c>
      <c r="DH34" s="47">
        <f>'CF_Продажа'!DG34+'CF_Продажа'!DH33</f>
        <v/>
      </c>
      <c r="DI34" s="47">
        <f>'CF_Продажа'!DH34+'CF_Продажа'!DI33</f>
        <v/>
      </c>
      <c r="DJ34" s="47">
        <f>'CF_Продажа'!DI34+'CF_Продажа'!DJ33</f>
        <v/>
      </c>
      <c r="DK34" s="47">
        <f>'CF_Продажа'!DJ34+'CF_Продажа'!DK33</f>
        <v/>
      </c>
      <c r="DL34" s="47">
        <f>'CF_Продажа'!DK34+'CF_Продажа'!DL33</f>
        <v/>
      </c>
      <c r="DM34" s="47">
        <f>'CF_Продажа'!DL34+'CF_Продажа'!DM33</f>
        <v/>
      </c>
    </row>
    <row r="35">
      <c r="A35" s="36" t="inlineStr">
        <is>
          <t>Поток проекта до кредита</t>
        </is>
      </c>
      <c r="B35" s="40">
        <f>SUM(D35:DM35)</f>
        <v/>
      </c>
      <c r="C35" s="37" t="inlineStr">
        <is>
          <t>млн ₽</t>
        </is>
      </c>
      <c r="D35" s="47">
        <f>'CF_Продажа'!D7-'CF_Продажа'!D8-'CF_Продажа'!D13-'CAPEX'!D7*IF('СРОКИ'!D10&lt;='СРОКИ'!$B$6,1,0)-'CF_Продажа'!D32</f>
        <v/>
      </c>
      <c r="E35" s="47">
        <f>'CF_Продажа'!E7-'CF_Продажа'!E8-'CF_Продажа'!E13-'CAPEX'!E7*IF('СРОКИ'!E10&lt;='СРОКИ'!$B$6,1,0)-'CF_Продажа'!E32</f>
        <v/>
      </c>
      <c r="F35" s="47">
        <f>'CF_Продажа'!F7-'CF_Продажа'!F8-'CF_Продажа'!F13-'CAPEX'!F7*IF('СРОКИ'!F10&lt;='СРОКИ'!$B$6,1,0)-'CF_Продажа'!F32</f>
        <v/>
      </c>
      <c r="G35" s="47">
        <f>'CF_Продажа'!G7-'CF_Продажа'!G8-'CF_Продажа'!G13-'CAPEX'!G7*IF('СРОКИ'!G10&lt;='СРОКИ'!$B$6,1,0)-'CF_Продажа'!G32</f>
        <v/>
      </c>
      <c r="H35" s="47">
        <f>'CF_Продажа'!H7-'CF_Продажа'!H8-'CF_Продажа'!H13-'CAPEX'!H7*IF('СРОКИ'!H10&lt;='СРОКИ'!$B$6,1,0)-'CF_Продажа'!H32</f>
        <v/>
      </c>
      <c r="I35" s="47">
        <f>'CF_Продажа'!I7-'CF_Продажа'!I8-'CF_Продажа'!I13-'CAPEX'!I7*IF('СРОКИ'!I10&lt;='СРОКИ'!$B$6,1,0)-'CF_Продажа'!I32</f>
        <v/>
      </c>
      <c r="J35" s="47">
        <f>'CF_Продажа'!J7-'CF_Продажа'!J8-'CF_Продажа'!J13-'CAPEX'!J7*IF('СРОКИ'!J10&lt;='СРОКИ'!$B$6,1,0)-'CF_Продажа'!J32</f>
        <v/>
      </c>
      <c r="K35" s="47">
        <f>'CF_Продажа'!K7-'CF_Продажа'!K8-'CF_Продажа'!K13-'CAPEX'!K7*IF('СРОКИ'!K10&lt;='СРОКИ'!$B$6,1,0)-'CF_Продажа'!K32</f>
        <v/>
      </c>
      <c r="L35" s="47">
        <f>'CF_Продажа'!L7-'CF_Продажа'!L8-'CF_Продажа'!L13-'CAPEX'!L7*IF('СРОКИ'!L10&lt;='СРОКИ'!$B$6,1,0)-'CF_Продажа'!L32</f>
        <v/>
      </c>
      <c r="M35" s="47">
        <f>'CF_Продажа'!M7-'CF_Продажа'!M8-'CF_Продажа'!M13-'CAPEX'!M7*IF('СРОКИ'!M10&lt;='СРОКИ'!$B$6,1,0)-'CF_Продажа'!M32</f>
        <v/>
      </c>
      <c r="N35" s="47">
        <f>'CF_Продажа'!N7-'CF_Продажа'!N8-'CF_Продажа'!N13-'CAPEX'!N7*IF('СРОКИ'!N10&lt;='СРОКИ'!$B$6,1,0)-'CF_Продажа'!N32</f>
        <v/>
      </c>
      <c r="O35" s="47">
        <f>'CF_Продажа'!O7-'CF_Продажа'!O8-'CF_Продажа'!O13-'CAPEX'!O7*IF('СРОКИ'!O10&lt;='СРОКИ'!$B$6,1,0)-'CF_Продажа'!O32</f>
        <v/>
      </c>
      <c r="P35" s="47">
        <f>'CF_Продажа'!P7-'CF_Продажа'!P8-'CF_Продажа'!P13-'CAPEX'!P7*IF('СРОКИ'!P10&lt;='СРОКИ'!$B$6,1,0)-'CF_Продажа'!P32</f>
        <v/>
      </c>
      <c r="Q35" s="47">
        <f>'CF_Продажа'!Q7-'CF_Продажа'!Q8-'CF_Продажа'!Q13-'CAPEX'!Q7*IF('СРОКИ'!Q10&lt;='СРОКИ'!$B$6,1,0)-'CF_Продажа'!Q32</f>
        <v/>
      </c>
      <c r="R35" s="47">
        <f>'CF_Продажа'!R7-'CF_Продажа'!R8-'CF_Продажа'!R13-'CAPEX'!R7*IF('СРОКИ'!R10&lt;='СРОКИ'!$B$6,1,0)-'CF_Продажа'!R32</f>
        <v/>
      </c>
      <c r="S35" s="47">
        <f>'CF_Продажа'!S7-'CF_Продажа'!S8-'CF_Продажа'!S13-'CAPEX'!S7*IF('СРОКИ'!S10&lt;='СРОКИ'!$B$6,1,0)-'CF_Продажа'!S32</f>
        <v/>
      </c>
      <c r="T35" s="47">
        <f>'CF_Продажа'!T7-'CF_Продажа'!T8-'CF_Продажа'!T13-'CAPEX'!T7*IF('СРОКИ'!T10&lt;='СРОКИ'!$B$6,1,0)-'CF_Продажа'!T32</f>
        <v/>
      </c>
      <c r="U35" s="47">
        <f>'CF_Продажа'!U7-'CF_Продажа'!U8-'CF_Продажа'!U13-'CAPEX'!U7*IF('СРОКИ'!U10&lt;='СРОКИ'!$B$6,1,0)-'CF_Продажа'!U32</f>
        <v/>
      </c>
      <c r="V35" s="47">
        <f>'CF_Продажа'!V7-'CF_Продажа'!V8-'CF_Продажа'!V13-'CAPEX'!V7*IF('СРОКИ'!V10&lt;='СРОКИ'!$B$6,1,0)-'CF_Продажа'!V32</f>
        <v/>
      </c>
      <c r="W35" s="47">
        <f>'CF_Продажа'!W7-'CF_Продажа'!W8-'CF_Продажа'!W13-'CAPEX'!W7*IF('СРОКИ'!W10&lt;='СРОКИ'!$B$6,1,0)-'CF_Продажа'!W32</f>
        <v/>
      </c>
      <c r="X35" s="47">
        <f>'CF_Продажа'!X7-'CF_Продажа'!X8-'CF_Продажа'!X13-'CAPEX'!X7*IF('СРОКИ'!X10&lt;='СРОКИ'!$B$6,1,0)-'CF_Продажа'!X32</f>
        <v/>
      </c>
      <c r="Y35" s="47">
        <f>'CF_Продажа'!Y7-'CF_Продажа'!Y8-'CF_Продажа'!Y13-'CAPEX'!Y7*IF('СРОКИ'!Y10&lt;='СРОКИ'!$B$6,1,0)-'CF_Продажа'!Y32</f>
        <v/>
      </c>
      <c r="Z35" s="47">
        <f>'CF_Продажа'!Z7-'CF_Продажа'!Z8-'CF_Продажа'!Z13-'CAPEX'!Z7*IF('СРОКИ'!Z10&lt;='СРОКИ'!$B$6,1,0)-'CF_Продажа'!Z32</f>
        <v/>
      </c>
      <c r="AA35" s="47">
        <f>'CF_Продажа'!AA7-'CF_Продажа'!AA8-'CF_Продажа'!AA13-'CAPEX'!AA7*IF('СРОКИ'!AA10&lt;='СРОКИ'!$B$6,1,0)-'CF_Продажа'!AA32</f>
        <v/>
      </c>
      <c r="AB35" s="47">
        <f>'CF_Продажа'!AB7-'CF_Продажа'!AB8-'CF_Продажа'!AB13-'CAPEX'!AB7*IF('СРОКИ'!AB10&lt;='СРОКИ'!$B$6,1,0)-'CF_Продажа'!AB32</f>
        <v/>
      </c>
      <c r="AC35" s="47">
        <f>'CF_Продажа'!AC7-'CF_Продажа'!AC8-'CF_Продажа'!AC13-'CAPEX'!AC7*IF('СРОКИ'!AC10&lt;='СРОКИ'!$B$6,1,0)-'CF_Продажа'!AC32</f>
        <v/>
      </c>
      <c r="AD35" s="47">
        <f>'CF_Продажа'!AD7-'CF_Продажа'!AD8-'CF_Продажа'!AD13-'CAPEX'!AD7*IF('СРОКИ'!AD10&lt;='СРОКИ'!$B$6,1,0)-'CF_Продажа'!AD32</f>
        <v/>
      </c>
      <c r="AE35" s="47">
        <f>'CF_Продажа'!AE7-'CF_Продажа'!AE8-'CF_Продажа'!AE13-'CAPEX'!AE7*IF('СРОКИ'!AE10&lt;='СРОКИ'!$B$6,1,0)-'CF_Продажа'!AE32</f>
        <v/>
      </c>
      <c r="AF35" s="47">
        <f>'CF_Продажа'!AF7-'CF_Продажа'!AF8-'CF_Продажа'!AF13-'CAPEX'!AF7*IF('СРОКИ'!AF10&lt;='СРОКИ'!$B$6,1,0)-'CF_Продажа'!AF32</f>
        <v/>
      </c>
      <c r="AG35" s="47">
        <f>'CF_Продажа'!AG7-'CF_Продажа'!AG8-'CF_Продажа'!AG13-'CAPEX'!AG7*IF('СРОКИ'!AG10&lt;='СРОКИ'!$B$6,1,0)-'CF_Продажа'!AG32</f>
        <v/>
      </c>
      <c r="AH35" s="47">
        <f>'CF_Продажа'!AH7-'CF_Продажа'!AH8-'CF_Продажа'!AH13-'CAPEX'!AH7*IF('СРОКИ'!AH10&lt;='СРОКИ'!$B$6,1,0)-'CF_Продажа'!AH32</f>
        <v/>
      </c>
      <c r="AI35" s="47">
        <f>'CF_Продажа'!AI7-'CF_Продажа'!AI8-'CF_Продажа'!AI13-'CAPEX'!AI7*IF('СРОКИ'!AI10&lt;='СРОКИ'!$B$6,1,0)-'CF_Продажа'!AI32</f>
        <v/>
      </c>
      <c r="AJ35" s="47">
        <f>'CF_Продажа'!AJ7-'CF_Продажа'!AJ8-'CF_Продажа'!AJ13-'CAPEX'!AJ7*IF('СРОКИ'!AJ10&lt;='СРОКИ'!$B$6,1,0)-'CF_Продажа'!AJ32</f>
        <v/>
      </c>
      <c r="AK35" s="47">
        <f>'CF_Продажа'!AK7-'CF_Продажа'!AK8-'CF_Продажа'!AK13-'CAPEX'!AK7*IF('СРОКИ'!AK10&lt;='СРОКИ'!$B$6,1,0)-'CF_Продажа'!AK32</f>
        <v/>
      </c>
      <c r="AL35" s="47">
        <f>'CF_Продажа'!AL7-'CF_Продажа'!AL8-'CF_Продажа'!AL13-'CAPEX'!AL7*IF('СРОКИ'!AL10&lt;='СРОКИ'!$B$6,1,0)-'CF_Продажа'!AL32</f>
        <v/>
      </c>
      <c r="AM35" s="47">
        <f>'CF_Продажа'!AM7-'CF_Продажа'!AM8-'CF_Продажа'!AM13-'CAPEX'!AM7*IF('СРОКИ'!AM10&lt;='СРОКИ'!$B$6,1,0)-'CF_Продажа'!AM32</f>
        <v/>
      </c>
      <c r="AN35" s="47">
        <f>'CF_Продажа'!AN7-'CF_Продажа'!AN8-'CF_Продажа'!AN13-'CAPEX'!AN7*IF('СРОКИ'!AN10&lt;='СРОКИ'!$B$6,1,0)-'CF_Продажа'!AN32</f>
        <v/>
      </c>
      <c r="AO35" s="47">
        <f>'CF_Продажа'!AO7-'CF_Продажа'!AO8-'CF_Продажа'!AO13-'CAPEX'!AO7*IF('СРОКИ'!AO10&lt;='СРОКИ'!$B$6,1,0)-'CF_Продажа'!AO32</f>
        <v/>
      </c>
      <c r="AP35" s="47">
        <f>'CF_Продажа'!AP7-'CF_Продажа'!AP8-'CF_Продажа'!AP13-'CAPEX'!AP7*IF('СРОКИ'!AP10&lt;='СРОКИ'!$B$6,1,0)-'CF_Продажа'!AP32</f>
        <v/>
      </c>
      <c r="AQ35" s="47">
        <f>'CF_Продажа'!AQ7-'CF_Продажа'!AQ8-'CF_Продажа'!AQ13-'CAPEX'!AQ7*IF('СРОКИ'!AQ10&lt;='СРОКИ'!$B$6,1,0)-'CF_Продажа'!AQ32</f>
        <v/>
      </c>
      <c r="AR35" s="47">
        <f>'CF_Продажа'!AR7-'CF_Продажа'!AR8-'CF_Продажа'!AR13-'CAPEX'!AR7*IF('СРОКИ'!AR10&lt;='СРОКИ'!$B$6,1,0)-'CF_Продажа'!AR32</f>
        <v/>
      </c>
      <c r="AS35" s="47">
        <f>'CF_Продажа'!AS7-'CF_Продажа'!AS8-'CF_Продажа'!AS13-'CAPEX'!AS7*IF('СРОКИ'!AS10&lt;='СРОКИ'!$B$6,1,0)-'CF_Продажа'!AS32</f>
        <v/>
      </c>
      <c r="AT35" s="47">
        <f>'CF_Продажа'!AT7-'CF_Продажа'!AT8-'CF_Продажа'!AT13-'CAPEX'!AT7*IF('СРОКИ'!AT10&lt;='СРОКИ'!$B$6,1,0)-'CF_Продажа'!AT32</f>
        <v/>
      </c>
      <c r="AU35" s="47">
        <f>'CF_Продажа'!AU7-'CF_Продажа'!AU8-'CF_Продажа'!AU13-'CAPEX'!AU7*IF('СРОКИ'!AU10&lt;='СРОКИ'!$B$6,1,0)-'CF_Продажа'!AU32</f>
        <v/>
      </c>
      <c r="AV35" s="47">
        <f>'CF_Продажа'!AV7-'CF_Продажа'!AV8-'CF_Продажа'!AV13-'CAPEX'!AV7*IF('СРОКИ'!AV10&lt;='СРОКИ'!$B$6,1,0)-'CF_Продажа'!AV32</f>
        <v/>
      </c>
      <c r="AW35" s="47">
        <f>'CF_Продажа'!AW7-'CF_Продажа'!AW8-'CF_Продажа'!AW13-'CAPEX'!AW7*IF('СРОКИ'!AW10&lt;='СРОКИ'!$B$6,1,0)-'CF_Продажа'!AW32</f>
        <v/>
      </c>
      <c r="AX35" s="47">
        <f>'CF_Продажа'!AX7-'CF_Продажа'!AX8-'CF_Продажа'!AX13-'CAPEX'!AX7*IF('СРОКИ'!AX10&lt;='СРОКИ'!$B$6,1,0)-'CF_Продажа'!AX32</f>
        <v/>
      </c>
      <c r="AY35" s="47">
        <f>'CF_Продажа'!AY7-'CF_Продажа'!AY8-'CF_Продажа'!AY13-'CAPEX'!AY7*IF('СРОКИ'!AY10&lt;='СРОКИ'!$B$6,1,0)-'CF_Продажа'!AY32</f>
        <v/>
      </c>
      <c r="AZ35" s="47">
        <f>'CF_Продажа'!AZ7-'CF_Продажа'!AZ8-'CF_Продажа'!AZ13-'CAPEX'!AZ7*IF('СРОКИ'!AZ10&lt;='СРОКИ'!$B$6,1,0)-'CF_Продажа'!AZ32</f>
        <v/>
      </c>
      <c r="BA35" s="47">
        <f>'CF_Продажа'!BA7-'CF_Продажа'!BA8-'CF_Продажа'!BA13-'CAPEX'!BA7*IF('СРОКИ'!BA10&lt;='СРОКИ'!$B$6,1,0)-'CF_Продажа'!BA32</f>
        <v/>
      </c>
      <c r="BB35" s="47">
        <f>'CF_Продажа'!BB7-'CF_Продажа'!BB8-'CF_Продажа'!BB13-'CAPEX'!BB7*IF('СРОКИ'!BB10&lt;='СРОКИ'!$B$6,1,0)-'CF_Продажа'!BB32</f>
        <v/>
      </c>
      <c r="BC35" s="47">
        <f>'CF_Продажа'!BC7-'CF_Продажа'!BC8-'CF_Продажа'!BC13-'CAPEX'!BC7*IF('СРОКИ'!BC10&lt;='СРОКИ'!$B$6,1,0)-'CF_Продажа'!BC32</f>
        <v/>
      </c>
      <c r="BD35" s="47">
        <f>'CF_Продажа'!BD7-'CF_Продажа'!BD8-'CF_Продажа'!BD13-'CAPEX'!BD7*IF('СРОКИ'!BD10&lt;='СРОКИ'!$B$6,1,0)-'CF_Продажа'!BD32</f>
        <v/>
      </c>
      <c r="BE35" s="47">
        <f>'CF_Продажа'!BE7-'CF_Продажа'!BE8-'CF_Продажа'!BE13-'CAPEX'!BE7*IF('СРОКИ'!BE10&lt;='СРОКИ'!$B$6,1,0)-'CF_Продажа'!BE32</f>
        <v/>
      </c>
      <c r="BF35" s="47">
        <f>'CF_Продажа'!BF7-'CF_Продажа'!BF8-'CF_Продажа'!BF13-'CAPEX'!BF7*IF('СРОКИ'!BF10&lt;='СРОКИ'!$B$6,1,0)-'CF_Продажа'!BF32</f>
        <v/>
      </c>
      <c r="BG35" s="47">
        <f>'CF_Продажа'!BG7-'CF_Продажа'!BG8-'CF_Продажа'!BG13-'CAPEX'!BG7*IF('СРОКИ'!BG10&lt;='СРОКИ'!$B$6,1,0)-'CF_Продажа'!BG32</f>
        <v/>
      </c>
      <c r="BH35" s="47">
        <f>'CF_Продажа'!BH7-'CF_Продажа'!BH8-'CF_Продажа'!BH13-'CAPEX'!BH7*IF('СРОКИ'!BH10&lt;='СРОКИ'!$B$6,1,0)-'CF_Продажа'!BH32</f>
        <v/>
      </c>
      <c r="BI35" s="47">
        <f>'CF_Продажа'!BI7-'CF_Продажа'!BI8-'CF_Продажа'!BI13-'CAPEX'!BI7*IF('СРОКИ'!BI10&lt;='СРОКИ'!$B$6,1,0)-'CF_Продажа'!BI32</f>
        <v/>
      </c>
      <c r="BJ35" s="47">
        <f>'CF_Продажа'!BJ7-'CF_Продажа'!BJ8-'CF_Продажа'!BJ13-'CAPEX'!BJ7*IF('СРОКИ'!BJ10&lt;='СРОКИ'!$B$6,1,0)-'CF_Продажа'!BJ32</f>
        <v/>
      </c>
      <c r="BK35" s="47">
        <f>'CF_Продажа'!BK7-'CF_Продажа'!BK8-'CF_Продажа'!BK13-'CAPEX'!BK7*IF('СРОКИ'!BK10&lt;='СРОКИ'!$B$6,1,0)-'CF_Продажа'!BK32</f>
        <v/>
      </c>
      <c r="BL35" s="47">
        <f>'CF_Продажа'!BL7-'CF_Продажа'!BL8-'CF_Продажа'!BL13-'CAPEX'!BL7*IF('СРОКИ'!BL10&lt;='СРОКИ'!$B$6,1,0)-'CF_Продажа'!BL32</f>
        <v/>
      </c>
      <c r="BM35" s="47">
        <f>'CF_Продажа'!BM7-'CF_Продажа'!BM8-'CF_Продажа'!BM13-'CAPEX'!BM7*IF('СРОКИ'!BM10&lt;='СРОКИ'!$B$6,1,0)-'CF_Продажа'!BM32</f>
        <v/>
      </c>
      <c r="BN35" s="47">
        <f>'CF_Продажа'!BN7-'CF_Продажа'!BN8-'CF_Продажа'!BN13-'CAPEX'!BN7*IF('СРОКИ'!BN10&lt;='СРОКИ'!$B$6,1,0)-'CF_Продажа'!BN32</f>
        <v/>
      </c>
      <c r="BO35" s="47">
        <f>'CF_Продажа'!BO7-'CF_Продажа'!BO8-'CF_Продажа'!BO13-'CAPEX'!BO7*IF('СРОКИ'!BO10&lt;='СРОКИ'!$B$6,1,0)-'CF_Продажа'!BO32</f>
        <v/>
      </c>
      <c r="BP35" s="47">
        <f>'CF_Продажа'!BP7-'CF_Продажа'!BP8-'CF_Продажа'!BP13-'CAPEX'!BP7*IF('СРОКИ'!BP10&lt;='СРОКИ'!$B$6,1,0)-'CF_Продажа'!BP32</f>
        <v/>
      </c>
      <c r="BQ35" s="47">
        <f>'CF_Продажа'!BQ7-'CF_Продажа'!BQ8-'CF_Продажа'!BQ13-'CAPEX'!BQ7*IF('СРОКИ'!BQ10&lt;='СРОКИ'!$B$6,1,0)-'CF_Продажа'!BQ32</f>
        <v/>
      </c>
      <c r="BR35" s="47">
        <f>'CF_Продажа'!BR7-'CF_Продажа'!BR8-'CF_Продажа'!BR13-'CAPEX'!BR7*IF('СРОКИ'!BR10&lt;='СРОКИ'!$B$6,1,0)-'CF_Продажа'!BR32</f>
        <v/>
      </c>
      <c r="BS35" s="47">
        <f>'CF_Продажа'!BS7-'CF_Продажа'!BS8-'CF_Продажа'!BS13-'CAPEX'!BS7*IF('СРОКИ'!BS10&lt;='СРОКИ'!$B$6,1,0)-'CF_Продажа'!BS32</f>
        <v/>
      </c>
      <c r="BT35" s="47">
        <f>'CF_Продажа'!BT7-'CF_Продажа'!BT8-'CF_Продажа'!BT13-'CAPEX'!BT7*IF('СРОКИ'!BT10&lt;='СРОКИ'!$B$6,1,0)-'CF_Продажа'!BT32</f>
        <v/>
      </c>
      <c r="BU35" s="47">
        <f>'CF_Продажа'!BU7-'CF_Продажа'!BU8-'CF_Продажа'!BU13-'CAPEX'!BU7*IF('СРОКИ'!BU10&lt;='СРОКИ'!$B$6,1,0)-'CF_Продажа'!BU32</f>
        <v/>
      </c>
      <c r="BV35" s="47">
        <f>'CF_Продажа'!BV7-'CF_Продажа'!BV8-'CF_Продажа'!BV13-'CAPEX'!BV7*IF('СРОКИ'!BV10&lt;='СРОКИ'!$B$6,1,0)-'CF_Продажа'!BV32</f>
        <v/>
      </c>
      <c r="BW35" s="47">
        <f>'CF_Продажа'!BW7-'CF_Продажа'!BW8-'CF_Продажа'!BW13-'CAPEX'!BW7*IF('СРОКИ'!BW10&lt;='СРОКИ'!$B$6,1,0)-'CF_Продажа'!BW32</f>
        <v/>
      </c>
      <c r="BX35" s="47">
        <f>'CF_Продажа'!BX7-'CF_Продажа'!BX8-'CF_Продажа'!BX13-'CAPEX'!BX7*IF('СРОКИ'!BX10&lt;='СРОКИ'!$B$6,1,0)-'CF_Продажа'!BX32</f>
        <v/>
      </c>
      <c r="BY35" s="47">
        <f>'CF_Продажа'!BY7-'CF_Продажа'!BY8-'CF_Продажа'!BY13-'CAPEX'!BY7*IF('СРОКИ'!BY10&lt;='СРОКИ'!$B$6,1,0)-'CF_Продажа'!BY32</f>
        <v/>
      </c>
      <c r="BZ35" s="47">
        <f>'CF_Продажа'!BZ7-'CF_Продажа'!BZ8-'CF_Продажа'!BZ13-'CAPEX'!BZ7*IF('СРОКИ'!BZ10&lt;='СРОКИ'!$B$6,1,0)-'CF_Продажа'!BZ32</f>
        <v/>
      </c>
      <c r="CA35" s="47">
        <f>'CF_Продажа'!CA7-'CF_Продажа'!CA8-'CF_Продажа'!CA13-'CAPEX'!CA7*IF('СРОКИ'!CA10&lt;='СРОКИ'!$B$6,1,0)-'CF_Продажа'!CA32</f>
        <v/>
      </c>
      <c r="CB35" s="47">
        <f>'CF_Продажа'!CB7-'CF_Продажа'!CB8-'CF_Продажа'!CB13-'CAPEX'!CB7*IF('СРОКИ'!CB10&lt;='СРОКИ'!$B$6,1,0)-'CF_Продажа'!CB32</f>
        <v/>
      </c>
      <c r="CC35" s="47">
        <f>'CF_Продажа'!CC7-'CF_Продажа'!CC8-'CF_Продажа'!CC13-'CAPEX'!CC7*IF('СРОКИ'!CC10&lt;='СРОКИ'!$B$6,1,0)-'CF_Продажа'!CC32</f>
        <v/>
      </c>
      <c r="CD35" s="47">
        <f>'CF_Продажа'!CD7-'CF_Продажа'!CD8-'CF_Продажа'!CD13-'CAPEX'!CD7*IF('СРОКИ'!CD10&lt;='СРОКИ'!$B$6,1,0)-'CF_Продажа'!CD32</f>
        <v/>
      </c>
      <c r="CE35" s="47">
        <f>'CF_Продажа'!CE7-'CF_Продажа'!CE8-'CF_Продажа'!CE13-'CAPEX'!CE7*IF('СРОКИ'!CE10&lt;='СРОКИ'!$B$6,1,0)-'CF_Продажа'!CE32</f>
        <v/>
      </c>
      <c r="CF35" s="47">
        <f>'CF_Продажа'!CF7-'CF_Продажа'!CF8-'CF_Продажа'!CF13-'CAPEX'!CF7*IF('СРОКИ'!CF10&lt;='СРОКИ'!$B$6,1,0)-'CF_Продажа'!CF32</f>
        <v/>
      </c>
      <c r="CG35" s="47">
        <f>'CF_Продажа'!CG7-'CF_Продажа'!CG8-'CF_Продажа'!CG13-'CAPEX'!CG7*IF('СРОКИ'!CG10&lt;='СРОКИ'!$B$6,1,0)-'CF_Продажа'!CG32</f>
        <v/>
      </c>
      <c r="CH35" s="47">
        <f>'CF_Продажа'!CH7-'CF_Продажа'!CH8-'CF_Продажа'!CH13-'CAPEX'!CH7*IF('СРОКИ'!CH10&lt;='СРОКИ'!$B$6,1,0)-'CF_Продажа'!CH32</f>
        <v/>
      </c>
      <c r="CI35" s="47">
        <f>'CF_Продажа'!CI7-'CF_Продажа'!CI8-'CF_Продажа'!CI13-'CAPEX'!CI7*IF('СРОКИ'!CI10&lt;='СРОКИ'!$B$6,1,0)-'CF_Продажа'!CI32</f>
        <v/>
      </c>
      <c r="CJ35" s="47">
        <f>'CF_Продажа'!CJ7-'CF_Продажа'!CJ8-'CF_Продажа'!CJ13-'CAPEX'!CJ7*IF('СРОКИ'!CJ10&lt;='СРОКИ'!$B$6,1,0)-'CF_Продажа'!CJ32</f>
        <v/>
      </c>
      <c r="CK35" s="47">
        <f>'CF_Продажа'!CK7-'CF_Продажа'!CK8-'CF_Продажа'!CK13-'CAPEX'!CK7*IF('СРОКИ'!CK10&lt;='СРОКИ'!$B$6,1,0)-'CF_Продажа'!CK32</f>
        <v/>
      </c>
      <c r="CL35" s="47">
        <f>'CF_Продажа'!CL7-'CF_Продажа'!CL8-'CF_Продажа'!CL13-'CAPEX'!CL7*IF('СРОКИ'!CL10&lt;='СРОКИ'!$B$6,1,0)-'CF_Продажа'!CL32</f>
        <v/>
      </c>
      <c r="CM35" s="47">
        <f>'CF_Продажа'!CM7-'CF_Продажа'!CM8-'CF_Продажа'!CM13-'CAPEX'!CM7*IF('СРОКИ'!CM10&lt;='СРОКИ'!$B$6,1,0)-'CF_Продажа'!CM32</f>
        <v/>
      </c>
      <c r="CN35" s="47">
        <f>'CF_Продажа'!CN7-'CF_Продажа'!CN8-'CF_Продажа'!CN13-'CAPEX'!CN7*IF('СРОКИ'!CN10&lt;='СРОКИ'!$B$6,1,0)-'CF_Продажа'!CN32</f>
        <v/>
      </c>
      <c r="CO35" s="47">
        <f>'CF_Продажа'!CO7-'CF_Продажа'!CO8-'CF_Продажа'!CO13-'CAPEX'!CO7*IF('СРОКИ'!CO10&lt;='СРОКИ'!$B$6,1,0)-'CF_Продажа'!CO32</f>
        <v/>
      </c>
      <c r="CP35" s="47">
        <f>'CF_Продажа'!CP7-'CF_Продажа'!CP8-'CF_Продажа'!CP13-'CAPEX'!CP7*IF('СРОКИ'!CP10&lt;='СРОКИ'!$B$6,1,0)-'CF_Продажа'!CP32</f>
        <v/>
      </c>
      <c r="CQ35" s="47">
        <f>'CF_Продажа'!CQ7-'CF_Продажа'!CQ8-'CF_Продажа'!CQ13-'CAPEX'!CQ7*IF('СРОКИ'!CQ10&lt;='СРОКИ'!$B$6,1,0)-'CF_Продажа'!CQ32</f>
        <v/>
      </c>
      <c r="CR35" s="47">
        <f>'CF_Продажа'!CR7-'CF_Продажа'!CR8-'CF_Продажа'!CR13-'CAPEX'!CR7*IF('СРОКИ'!CR10&lt;='СРОКИ'!$B$6,1,0)-'CF_Продажа'!CR32</f>
        <v/>
      </c>
      <c r="CS35" s="47">
        <f>'CF_Продажа'!CS7-'CF_Продажа'!CS8-'CF_Продажа'!CS13-'CAPEX'!CS7*IF('СРОКИ'!CS10&lt;='СРОКИ'!$B$6,1,0)-'CF_Продажа'!CS32</f>
        <v/>
      </c>
      <c r="CT35" s="47">
        <f>'CF_Продажа'!CT7-'CF_Продажа'!CT8-'CF_Продажа'!CT13-'CAPEX'!CT7*IF('СРОКИ'!CT10&lt;='СРОКИ'!$B$6,1,0)-'CF_Продажа'!CT32</f>
        <v/>
      </c>
      <c r="CU35" s="47">
        <f>'CF_Продажа'!CU7-'CF_Продажа'!CU8-'CF_Продажа'!CU13-'CAPEX'!CU7*IF('СРОКИ'!CU10&lt;='СРОКИ'!$B$6,1,0)-'CF_Продажа'!CU32</f>
        <v/>
      </c>
      <c r="CV35" s="47">
        <f>'CF_Продажа'!CV7-'CF_Продажа'!CV8-'CF_Продажа'!CV13-'CAPEX'!CV7*IF('СРОКИ'!CV10&lt;='СРОКИ'!$B$6,1,0)-'CF_Продажа'!CV32</f>
        <v/>
      </c>
      <c r="CW35" s="47">
        <f>'CF_Продажа'!CW7-'CF_Продажа'!CW8-'CF_Продажа'!CW13-'CAPEX'!CW7*IF('СРОКИ'!CW10&lt;='СРОКИ'!$B$6,1,0)-'CF_Продажа'!CW32</f>
        <v/>
      </c>
      <c r="CX35" s="47">
        <f>'CF_Продажа'!CX7-'CF_Продажа'!CX8-'CF_Продажа'!CX13-'CAPEX'!CX7*IF('СРОКИ'!CX10&lt;='СРОКИ'!$B$6,1,0)-'CF_Продажа'!CX32</f>
        <v/>
      </c>
      <c r="CY35" s="47">
        <f>'CF_Продажа'!CY7-'CF_Продажа'!CY8-'CF_Продажа'!CY13-'CAPEX'!CY7*IF('СРОКИ'!CY10&lt;='СРОКИ'!$B$6,1,0)-'CF_Продажа'!CY32</f>
        <v/>
      </c>
      <c r="CZ35" s="47">
        <f>'CF_Продажа'!CZ7-'CF_Продажа'!CZ8-'CF_Продажа'!CZ13-'CAPEX'!CZ7*IF('СРОКИ'!CZ10&lt;='СРОКИ'!$B$6,1,0)-'CF_Продажа'!CZ32</f>
        <v/>
      </c>
      <c r="DA35" s="47">
        <f>'CF_Продажа'!DA7-'CF_Продажа'!DA8-'CF_Продажа'!DA13-'CAPEX'!DA7*IF('СРОКИ'!DA10&lt;='СРОКИ'!$B$6,1,0)-'CF_Продажа'!DA32</f>
        <v/>
      </c>
      <c r="DB35" s="47">
        <f>'CF_Продажа'!DB7-'CF_Продажа'!DB8-'CF_Продажа'!DB13-'CAPEX'!DB7*IF('СРОКИ'!DB10&lt;='СРОКИ'!$B$6,1,0)-'CF_Продажа'!DB32</f>
        <v/>
      </c>
      <c r="DC35" s="47">
        <f>'CF_Продажа'!DC7-'CF_Продажа'!DC8-'CF_Продажа'!DC13-'CAPEX'!DC7*IF('СРОКИ'!DC10&lt;='СРОКИ'!$B$6,1,0)-'CF_Продажа'!DC32</f>
        <v/>
      </c>
      <c r="DD35" s="47">
        <f>'CF_Продажа'!DD7-'CF_Продажа'!DD8-'CF_Продажа'!DD13-'CAPEX'!DD7*IF('СРОКИ'!DD10&lt;='СРОКИ'!$B$6,1,0)-'CF_Продажа'!DD32</f>
        <v/>
      </c>
      <c r="DE35" s="47">
        <f>'CF_Продажа'!DE7-'CF_Продажа'!DE8-'CF_Продажа'!DE13-'CAPEX'!DE7*IF('СРОКИ'!DE10&lt;='СРОКИ'!$B$6,1,0)-'CF_Продажа'!DE32</f>
        <v/>
      </c>
      <c r="DF35" s="47">
        <f>'CF_Продажа'!DF7-'CF_Продажа'!DF8-'CF_Продажа'!DF13-'CAPEX'!DF7*IF('СРОКИ'!DF10&lt;='СРОКИ'!$B$6,1,0)-'CF_Продажа'!DF32</f>
        <v/>
      </c>
      <c r="DG35" s="47">
        <f>'CF_Продажа'!DG7-'CF_Продажа'!DG8-'CF_Продажа'!DG13-'CAPEX'!DG7*IF('СРОКИ'!DG10&lt;='СРОКИ'!$B$6,1,0)-'CF_Продажа'!DG32</f>
        <v/>
      </c>
      <c r="DH35" s="47">
        <f>'CF_Продажа'!DH7-'CF_Продажа'!DH8-'CF_Продажа'!DH13-'CAPEX'!DH7*IF('СРОКИ'!DH10&lt;='СРОКИ'!$B$6,1,0)-'CF_Продажа'!DH32</f>
        <v/>
      </c>
      <c r="DI35" s="47">
        <f>'CF_Продажа'!DI7-'CF_Продажа'!DI8-'CF_Продажа'!DI13-'CAPEX'!DI7*IF('СРОКИ'!DI10&lt;='СРОКИ'!$B$6,1,0)-'CF_Продажа'!DI32</f>
        <v/>
      </c>
      <c r="DJ35" s="47">
        <f>'CF_Продажа'!DJ7-'CF_Продажа'!DJ8-'CF_Продажа'!DJ13-'CAPEX'!DJ7*IF('СРОКИ'!DJ10&lt;='СРОКИ'!$B$6,1,0)-'CF_Продажа'!DJ32</f>
        <v/>
      </c>
      <c r="DK35" s="47">
        <f>'CF_Продажа'!DK7-'CF_Продажа'!DK8-'CF_Продажа'!DK13-'CAPEX'!DK7*IF('СРОКИ'!DK10&lt;='СРОКИ'!$B$6,1,0)-'CF_Продажа'!DK32</f>
        <v/>
      </c>
      <c r="DL35" s="47">
        <f>'CF_Продажа'!DL7-'CF_Продажа'!DL8-'CF_Продажа'!DL13-'CAPEX'!DL7*IF('СРОКИ'!DL10&lt;='СРОКИ'!$B$6,1,0)-'CF_Продажа'!DL32</f>
        <v/>
      </c>
      <c r="DM35" s="47">
        <f>'CF_Продажа'!DM7-'CF_Продажа'!DM8-'CF_Продажа'!DM13-'CAPEX'!DM7*IF('СРОКИ'!DM10&lt;='СРОКИ'!$B$6,1,0)-'CF_Продажа'!DM32</f>
        <v/>
      </c>
    </row>
    <row r="36">
      <c r="A36" s="36" t="inlineStr">
        <is>
          <t>Множитель дисконтирования</t>
        </is>
      </c>
      <c r="B36" s="10" t="n"/>
      <c r="C36" s="37" t="inlineStr">
        <is>
          <t>×</t>
        </is>
      </c>
      <c r="D36" s="45">
        <f>1/(1+'Вводные'!$B$12)^('СРОКИ'!D10/12)</f>
        <v/>
      </c>
      <c r="E36" s="45">
        <f>1/(1+'Вводные'!$B$12)^('СРОКИ'!E10/12)</f>
        <v/>
      </c>
      <c r="F36" s="45">
        <f>1/(1+'Вводные'!$B$12)^('СРОКИ'!F10/12)</f>
        <v/>
      </c>
      <c r="G36" s="45">
        <f>1/(1+'Вводные'!$B$12)^('СРОКИ'!G10/12)</f>
        <v/>
      </c>
      <c r="H36" s="45">
        <f>1/(1+'Вводные'!$B$12)^('СРОКИ'!H10/12)</f>
        <v/>
      </c>
      <c r="I36" s="45">
        <f>1/(1+'Вводные'!$B$12)^('СРОКИ'!I10/12)</f>
        <v/>
      </c>
      <c r="J36" s="45">
        <f>1/(1+'Вводные'!$B$12)^('СРОКИ'!J10/12)</f>
        <v/>
      </c>
      <c r="K36" s="45">
        <f>1/(1+'Вводные'!$B$12)^('СРОКИ'!K10/12)</f>
        <v/>
      </c>
      <c r="L36" s="45">
        <f>1/(1+'Вводные'!$B$12)^('СРОКИ'!L10/12)</f>
        <v/>
      </c>
      <c r="M36" s="45">
        <f>1/(1+'Вводные'!$B$12)^('СРОКИ'!M10/12)</f>
        <v/>
      </c>
      <c r="N36" s="45">
        <f>1/(1+'Вводные'!$B$12)^('СРОКИ'!N10/12)</f>
        <v/>
      </c>
      <c r="O36" s="45">
        <f>1/(1+'Вводные'!$B$12)^('СРОКИ'!O10/12)</f>
        <v/>
      </c>
      <c r="P36" s="45">
        <f>1/(1+'Вводные'!$B$12)^('СРОКИ'!P10/12)</f>
        <v/>
      </c>
      <c r="Q36" s="45">
        <f>1/(1+'Вводные'!$B$12)^('СРОКИ'!Q10/12)</f>
        <v/>
      </c>
      <c r="R36" s="45">
        <f>1/(1+'Вводные'!$B$12)^('СРОКИ'!R10/12)</f>
        <v/>
      </c>
      <c r="S36" s="45">
        <f>1/(1+'Вводные'!$B$12)^('СРОКИ'!S10/12)</f>
        <v/>
      </c>
      <c r="T36" s="45">
        <f>1/(1+'Вводные'!$B$12)^('СРОКИ'!T10/12)</f>
        <v/>
      </c>
      <c r="U36" s="45">
        <f>1/(1+'Вводные'!$B$12)^('СРОКИ'!U10/12)</f>
        <v/>
      </c>
      <c r="V36" s="45">
        <f>1/(1+'Вводные'!$B$12)^('СРОКИ'!V10/12)</f>
        <v/>
      </c>
      <c r="W36" s="45">
        <f>1/(1+'Вводные'!$B$12)^('СРОКИ'!W10/12)</f>
        <v/>
      </c>
      <c r="X36" s="45">
        <f>1/(1+'Вводные'!$B$12)^('СРОКИ'!X10/12)</f>
        <v/>
      </c>
      <c r="Y36" s="45">
        <f>1/(1+'Вводные'!$B$12)^('СРОКИ'!Y10/12)</f>
        <v/>
      </c>
      <c r="Z36" s="45">
        <f>1/(1+'Вводные'!$B$12)^('СРОКИ'!Z10/12)</f>
        <v/>
      </c>
      <c r="AA36" s="45">
        <f>1/(1+'Вводные'!$B$12)^('СРОКИ'!AA10/12)</f>
        <v/>
      </c>
      <c r="AB36" s="45">
        <f>1/(1+'Вводные'!$B$12)^('СРОКИ'!AB10/12)</f>
        <v/>
      </c>
      <c r="AC36" s="45">
        <f>1/(1+'Вводные'!$B$12)^('СРОКИ'!AC10/12)</f>
        <v/>
      </c>
      <c r="AD36" s="45">
        <f>1/(1+'Вводные'!$B$12)^('СРОКИ'!AD10/12)</f>
        <v/>
      </c>
      <c r="AE36" s="45">
        <f>1/(1+'Вводные'!$B$12)^('СРОКИ'!AE10/12)</f>
        <v/>
      </c>
      <c r="AF36" s="45">
        <f>1/(1+'Вводные'!$B$12)^('СРОКИ'!AF10/12)</f>
        <v/>
      </c>
      <c r="AG36" s="45">
        <f>1/(1+'Вводные'!$B$12)^('СРОКИ'!AG10/12)</f>
        <v/>
      </c>
      <c r="AH36" s="45">
        <f>1/(1+'Вводные'!$B$12)^('СРОКИ'!AH10/12)</f>
        <v/>
      </c>
      <c r="AI36" s="45">
        <f>1/(1+'Вводные'!$B$12)^('СРОКИ'!AI10/12)</f>
        <v/>
      </c>
      <c r="AJ36" s="45">
        <f>1/(1+'Вводные'!$B$12)^('СРОКИ'!AJ10/12)</f>
        <v/>
      </c>
      <c r="AK36" s="45">
        <f>1/(1+'Вводные'!$B$12)^('СРОКИ'!AK10/12)</f>
        <v/>
      </c>
      <c r="AL36" s="45">
        <f>1/(1+'Вводные'!$B$12)^('СРОКИ'!AL10/12)</f>
        <v/>
      </c>
      <c r="AM36" s="45">
        <f>1/(1+'Вводные'!$B$12)^('СРОКИ'!AM10/12)</f>
        <v/>
      </c>
      <c r="AN36" s="45">
        <f>1/(1+'Вводные'!$B$12)^('СРОКИ'!AN10/12)</f>
        <v/>
      </c>
      <c r="AO36" s="45">
        <f>1/(1+'Вводные'!$B$12)^('СРОКИ'!AO10/12)</f>
        <v/>
      </c>
      <c r="AP36" s="45">
        <f>1/(1+'Вводные'!$B$12)^('СРОКИ'!AP10/12)</f>
        <v/>
      </c>
      <c r="AQ36" s="45">
        <f>1/(1+'Вводные'!$B$12)^('СРОКИ'!AQ10/12)</f>
        <v/>
      </c>
      <c r="AR36" s="45">
        <f>1/(1+'Вводные'!$B$12)^('СРОКИ'!AR10/12)</f>
        <v/>
      </c>
      <c r="AS36" s="45">
        <f>1/(1+'Вводные'!$B$12)^('СРОКИ'!AS10/12)</f>
        <v/>
      </c>
      <c r="AT36" s="45">
        <f>1/(1+'Вводные'!$B$12)^('СРОКИ'!AT10/12)</f>
        <v/>
      </c>
      <c r="AU36" s="45">
        <f>1/(1+'Вводные'!$B$12)^('СРОКИ'!AU10/12)</f>
        <v/>
      </c>
      <c r="AV36" s="45">
        <f>1/(1+'Вводные'!$B$12)^('СРОКИ'!AV10/12)</f>
        <v/>
      </c>
      <c r="AW36" s="45">
        <f>1/(1+'Вводные'!$B$12)^('СРОКИ'!AW10/12)</f>
        <v/>
      </c>
      <c r="AX36" s="45">
        <f>1/(1+'Вводные'!$B$12)^('СРОКИ'!AX10/12)</f>
        <v/>
      </c>
      <c r="AY36" s="45">
        <f>1/(1+'Вводные'!$B$12)^('СРОКИ'!AY10/12)</f>
        <v/>
      </c>
      <c r="AZ36" s="45">
        <f>1/(1+'Вводные'!$B$12)^('СРОКИ'!AZ10/12)</f>
        <v/>
      </c>
      <c r="BA36" s="45">
        <f>1/(1+'Вводные'!$B$12)^('СРОКИ'!BA10/12)</f>
        <v/>
      </c>
      <c r="BB36" s="45">
        <f>1/(1+'Вводные'!$B$12)^('СРОКИ'!BB10/12)</f>
        <v/>
      </c>
      <c r="BC36" s="45">
        <f>1/(1+'Вводные'!$B$12)^('СРОКИ'!BC10/12)</f>
        <v/>
      </c>
      <c r="BD36" s="45">
        <f>1/(1+'Вводные'!$B$12)^('СРОКИ'!BD10/12)</f>
        <v/>
      </c>
      <c r="BE36" s="45">
        <f>1/(1+'Вводные'!$B$12)^('СРОКИ'!BE10/12)</f>
        <v/>
      </c>
      <c r="BF36" s="45">
        <f>1/(1+'Вводные'!$B$12)^('СРОКИ'!BF10/12)</f>
        <v/>
      </c>
      <c r="BG36" s="45">
        <f>1/(1+'Вводные'!$B$12)^('СРОКИ'!BG10/12)</f>
        <v/>
      </c>
      <c r="BH36" s="45">
        <f>1/(1+'Вводные'!$B$12)^('СРОКИ'!BH10/12)</f>
        <v/>
      </c>
      <c r="BI36" s="45">
        <f>1/(1+'Вводные'!$B$12)^('СРОКИ'!BI10/12)</f>
        <v/>
      </c>
      <c r="BJ36" s="45">
        <f>1/(1+'Вводные'!$B$12)^('СРОКИ'!BJ10/12)</f>
        <v/>
      </c>
      <c r="BK36" s="45">
        <f>1/(1+'Вводные'!$B$12)^('СРОКИ'!BK10/12)</f>
        <v/>
      </c>
      <c r="BL36" s="45">
        <f>1/(1+'Вводные'!$B$12)^('СРОКИ'!BL10/12)</f>
        <v/>
      </c>
      <c r="BM36" s="45">
        <f>1/(1+'Вводные'!$B$12)^('СРОКИ'!BM10/12)</f>
        <v/>
      </c>
      <c r="BN36" s="45">
        <f>1/(1+'Вводные'!$B$12)^('СРОКИ'!BN10/12)</f>
        <v/>
      </c>
      <c r="BO36" s="45">
        <f>1/(1+'Вводные'!$B$12)^('СРОКИ'!BO10/12)</f>
        <v/>
      </c>
      <c r="BP36" s="45">
        <f>1/(1+'Вводные'!$B$12)^('СРОКИ'!BP10/12)</f>
        <v/>
      </c>
      <c r="BQ36" s="45">
        <f>1/(1+'Вводные'!$B$12)^('СРОКИ'!BQ10/12)</f>
        <v/>
      </c>
      <c r="BR36" s="45">
        <f>1/(1+'Вводные'!$B$12)^('СРОКИ'!BR10/12)</f>
        <v/>
      </c>
      <c r="BS36" s="45">
        <f>1/(1+'Вводные'!$B$12)^('СРОКИ'!BS10/12)</f>
        <v/>
      </c>
      <c r="BT36" s="45">
        <f>1/(1+'Вводные'!$B$12)^('СРОКИ'!BT10/12)</f>
        <v/>
      </c>
      <c r="BU36" s="45">
        <f>1/(1+'Вводные'!$B$12)^('СРОКИ'!BU10/12)</f>
        <v/>
      </c>
      <c r="BV36" s="45">
        <f>1/(1+'Вводные'!$B$12)^('СРОКИ'!BV10/12)</f>
        <v/>
      </c>
      <c r="BW36" s="45">
        <f>1/(1+'Вводные'!$B$12)^('СРОКИ'!BW10/12)</f>
        <v/>
      </c>
      <c r="BX36" s="45">
        <f>1/(1+'Вводные'!$B$12)^('СРОКИ'!BX10/12)</f>
        <v/>
      </c>
      <c r="BY36" s="45">
        <f>1/(1+'Вводные'!$B$12)^('СРОКИ'!BY10/12)</f>
        <v/>
      </c>
      <c r="BZ36" s="45">
        <f>1/(1+'Вводные'!$B$12)^('СРОКИ'!BZ10/12)</f>
        <v/>
      </c>
      <c r="CA36" s="45">
        <f>1/(1+'Вводные'!$B$12)^('СРОКИ'!CA10/12)</f>
        <v/>
      </c>
      <c r="CB36" s="45">
        <f>1/(1+'Вводные'!$B$12)^('СРОКИ'!CB10/12)</f>
        <v/>
      </c>
      <c r="CC36" s="45">
        <f>1/(1+'Вводные'!$B$12)^('СРОКИ'!CC10/12)</f>
        <v/>
      </c>
      <c r="CD36" s="45">
        <f>1/(1+'Вводные'!$B$12)^('СРОКИ'!CD10/12)</f>
        <v/>
      </c>
      <c r="CE36" s="45">
        <f>1/(1+'Вводные'!$B$12)^('СРОКИ'!CE10/12)</f>
        <v/>
      </c>
      <c r="CF36" s="45">
        <f>1/(1+'Вводные'!$B$12)^('СРОКИ'!CF10/12)</f>
        <v/>
      </c>
      <c r="CG36" s="45">
        <f>1/(1+'Вводные'!$B$12)^('СРОКИ'!CG10/12)</f>
        <v/>
      </c>
      <c r="CH36" s="45">
        <f>1/(1+'Вводные'!$B$12)^('СРОКИ'!CH10/12)</f>
        <v/>
      </c>
      <c r="CI36" s="45">
        <f>1/(1+'Вводные'!$B$12)^('СРОКИ'!CI10/12)</f>
        <v/>
      </c>
      <c r="CJ36" s="45">
        <f>1/(1+'Вводные'!$B$12)^('СРОКИ'!CJ10/12)</f>
        <v/>
      </c>
      <c r="CK36" s="45">
        <f>1/(1+'Вводные'!$B$12)^('СРОКИ'!CK10/12)</f>
        <v/>
      </c>
      <c r="CL36" s="45">
        <f>1/(1+'Вводные'!$B$12)^('СРОКИ'!CL10/12)</f>
        <v/>
      </c>
      <c r="CM36" s="45">
        <f>1/(1+'Вводные'!$B$12)^('СРОКИ'!CM10/12)</f>
        <v/>
      </c>
      <c r="CN36" s="45">
        <f>1/(1+'Вводные'!$B$12)^('СРОКИ'!CN10/12)</f>
        <v/>
      </c>
      <c r="CO36" s="45">
        <f>1/(1+'Вводные'!$B$12)^('СРОКИ'!CO10/12)</f>
        <v/>
      </c>
      <c r="CP36" s="45">
        <f>1/(1+'Вводные'!$B$12)^('СРОКИ'!CP10/12)</f>
        <v/>
      </c>
      <c r="CQ36" s="45">
        <f>1/(1+'Вводные'!$B$12)^('СРОКИ'!CQ10/12)</f>
        <v/>
      </c>
      <c r="CR36" s="45">
        <f>1/(1+'Вводные'!$B$12)^('СРОКИ'!CR10/12)</f>
        <v/>
      </c>
      <c r="CS36" s="45">
        <f>1/(1+'Вводные'!$B$12)^('СРОКИ'!CS10/12)</f>
        <v/>
      </c>
      <c r="CT36" s="45">
        <f>1/(1+'Вводные'!$B$12)^('СРОКИ'!CT10/12)</f>
        <v/>
      </c>
      <c r="CU36" s="45">
        <f>1/(1+'Вводные'!$B$12)^('СРОКИ'!CU10/12)</f>
        <v/>
      </c>
      <c r="CV36" s="45">
        <f>1/(1+'Вводные'!$B$12)^('СРОКИ'!CV10/12)</f>
        <v/>
      </c>
      <c r="CW36" s="45">
        <f>1/(1+'Вводные'!$B$12)^('СРОКИ'!CW10/12)</f>
        <v/>
      </c>
      <c r="CX36" s="45">
        <f>1/(1+'Вводные'!$B$12)^('СРОКИ'!CX10/12)</f>
        <v/>
      </c>
      <c r="CY36" s="45">
        <f>1/(1+'Вводные'!$B$12)^('СРОКИ'!CY10/12)</f>
        <v/>
      </c>
      <c r="CZ36" s="45">
        <f>1/(1+'Вводные'!$B$12)^('СРОКИ'!CZ10/12)</f>
        <v/>
      </c>
      <c r="DA36" s="45">
        <f>1/(1+'Вводные'!$B$12)^('СРОКИ'!DA10/12)</f>
        <v/>
      </c>
      <c r="DB36" s="45">
        <f>1/(1+'Вводные'!$B$12)^('СРОКИ'!DB10/12)</f>
        <v/>
      </c>
      <c r="DC36" s="45">
        <f>1/(1+'Вводные'!$B$12)^('СРОКИ'!DC10/12)</f>
        <v/>
      </c>
      <c r="DD36" s="45">
        <f>1/(1+'Вводные'!$B$12)^('СРОКИ'!DD10/12)</f>
        <v/>
      </c>
      <c r="DE36" s="45">
        <f>1/(1+'Вводные'!$B$12)^('СРОКИ'!DE10/12)</f>
        <v/>
      </c>
      <c r="DF36" s="45">
        <f>1/(1+'Вводные'!$B$12)^('СРОКИ'!DF10/12)</f>
        <v/>
      </c>
      <c r="DG36" s="45">
        <f>1/(1+'Вводные'!$B$12)^('СРОКИ'!DG10/12)</f>
        <v/>
      </c>
      <c r="DH36" s="45">
        <f>1/(1+'Вводные'!$B$12)^('СРОКИ'!DH10/12)</f>
        <v/>
      </c>
      <c r="DI36" s="45">
        <f>1/(1+'Вводные'!$B$12)^('СРОКИ'!DI10/12)</f>
        <v/>
      </c>
      <c r="DJ36" s="45">
        <f>1/(1+'Вводные'!$B$12)^('СРОКИ'!DJ10/12)</f>
        <v/>
      </c>
      <c r="DK36" s="45">
        <f>1/(1+'Вводные'!$B$12)^('СРОКИ'!DK10/12)</f>
        <v/>
      </c>
      <c r="DL36" s="45">
        <f>1/(1+'Вводные'!$B$12)^('СРОКИ'!DL10/12)</f>
        <v/>
      </c>
      <c r="DM36" s="45">
        <f>1/(1+'Вводные'!$B$12)^('СРОКИ'!DM10/12)</f>
        <v/>
      </c>
    </row>
    <row r="37">
      <c r="A37" t="inlineStr">
        <is>
          <t>NPV проекта</t>
        </is>
      </c>
      <c r="B37" s="26">
        <f>SUMPRODUCT('CF_Продажа'!D35:DM35,'CF_Продажа'!D36:DM36)</f>
        <v/>
      </c>
      <c r="C37" s="3" t="inlineStr">
        <is>
          <t>млн ₽</t>
        </is>
      </c>
    </row>
    <row r="38">
      <c r="A38" t="inlineStr">
        <is>
          <t>IRR проекта</t>
        </is>
      </c>
      <c r="B38" s="28">
        <f>(1+IRR('CF_Продажа'!D35:DM35,-0.01))^12-1</f>
        <v/>
      </c>
      <c r="C38" s="3" t="inlineStr">
        <is>
          <t>в год</t>
        </is>
      </c>
    </row>
    <row r="39">
      <c r="A39" s="36" t="inlineStr">
        <is>
          <t>Множитель дисконтирования собственника (ставка / 12)</t>
        </is>
      </c>
      <c r="B39" s="10" t="n"/>
      <c r="C39" s="37" t="inlineStr">
        <is>
          <t>×</t>
        </is>
      </c>
      <c r="D39" s="45">
        <f>1/(1+'Вводные'!$B$12/12)^('СРОКИ'!D10)</f>
        <v/>
      </c>
      <c r="E39" s="45">
        <f>1/(1+'Вводные'!$B$12/12)^('СРОКИ'!E10)</f>
        <v/>
      </c>
      <c r="F39" s="45">
        <f>1/(1+'Вводные'!$B$12/12)^('СРОКИ'!F10)</f>
        <v/>
      </c>
      <c r="G39" s="45">
        <f>1/(1+'Вводные'!$B$12/12)^('СРОКИ'!G10)</f>
        <v/>
      </c>
      <c r="H39" s="45">
        <f>1/(1+'Вводные'!$B$12/12)^('СРОКИ'!H10)</f>
        <v/>
      </c>
      <c r="I39" s="45">
        <f>1/(1+'Вводные'!$B$12/12)^('СРОКИ'!I10)</f>
        <v/>
      </c>
      <c r="J39" s="45">
        <f>1/(1+'Вводные'!$B$12/12)^('СРОКИ'!J10)</f>
        <v/>
      </c>
      <c r="K39" s="45">
        <f>1/(1+'Вводные'!$B$12/12)^('СРОКИ'!K10)</f>
        <v/>
      </c>
      <c r="L39" s="45">
        <f>1/(1+'Вводные'!$B$12/12)^('СРОКИ'!L10)</f>
        <v/>
      </c>
      <c r="M39" s="45">
        <f>1/(1+'Вводные'!$B$12/12)^('СРОКИ'!M10)</f>
        <v/>
      </c>
      <c r="N39" s="45">
        <f>1/(1+'Вводные'!$B$12/12)^('СРОКИ'!N10)</f>
        <v/>
      </c>
      <c r="O39" s="45">
        <f>1/(1+'Вводные'!$B$12/12)^('СРОКИ'!O10)</f>
        <v/>
      </c>
      <c r="P39" s="45">
        <f>1/(1+'Вводные'!$B$12/12)^('СРОКИ'!P10)</f>
        <v/>
      </c>
      <c r="Q39" s="45">
        <f>1/(1+'Вводные'!$B$12/12)^('СРОКИ'!Q10)</f>
        <v/>
      </c>
      <c r="R39" s="45">
        <f>1/(1+'Вводные'!$B$12/12)^('СРОКИ'!R10)</f>
        <v/>
      </c>
      <c r="S39" s="45">
        <f>1/(1+'Вводные'!$B$12/12)^('СРОКИ'!S10)</f>
        <v/>
      </c>
      <c r="T39" s="45">
        <f>1/(1+'Вводные'!$B$12/12)^('СРОКИ'!T10)</f>
        <v/>
      </c>
      <c r="U39" s="45">
        <f>1/(1+'Вводные'!$B$12/12)^('СРОКИ'!U10)</f>
        <v/>
      </c>
      <c r="V39" s="45">
        <f>1/(1+'Вводные'!$B$12/12)^('СРОКИ'!V10)</f>
        <v/>
      </c>
      <c r="W39" s="45">
        <f>1/(1+'Вводные'!$B$12/12)^('СРОКИ'!W10)</f>
        <v/>
      </c>
      <c r="X39" s="45">
        <f>1/(1+'Вводные'!$B$12/12)^('СРОКИ'!X10)</f>
        <v/>
      </c>
      <c r="Y39" s="45">
        <f>1/(1+'Вводные'!$B$12/12)^('СРОКИ'!Y10)</f>
        <v/>
      </c>
      <c r="Z39" s="45">
        <f>1/(1+'Вводные'!$B$12/12)^('СРОКИ'!Z10)</f>
        <v/>
      </c>
      <c r="AA39" s="45">
        <f>1/(1+'Вводные'!$B$12/12)^('СРОКИ'!AA10)</f>
        <v/>
      </c>
      <c r="AB39" s="45">
        <f>1/(1+'Вводные'!$B$12/12)^('СРОКИ'!AB10)</f>
        <v/>
      </c>
      <c r="AC39" s="45">
        <f>1/(1+'Вводные'!$B$12/12)^('СРОКИ'!AC10)</f>
        <v/>
      </c>
      <c r="AD39" s="45">
        <f>1/(1+'Вводные'!$B$12/12)^('СРОКИ'!AD10)</f>
        <v/>
      </c>
      <c r="AE39" s="45">
        <f>1/(1+'Вводные'!$B$12/12)^('СРОКИ'!AE10)</f>
        <v/>
      </c>
      <c r="AF39" s="45">
        <f>1/(1+'Вводные'!$B$12/12)^('СРОКИ'!AF10)</f>
        <v/>
      </c>
      <c r="AG39" s="45">
        <f>1/(1+'Вводные'!$B$12/12)^('СРОКИ'!AG10)</f>
        <v/>
      </c>
      <c r="AH39" s="45">
        <f>1/(1+'Вводные'!$B$12/12)^('СРОКИ'!AH10)</f>
        <v/>
      </c>
      <c r="AI39" s="45">
        <f>1/(1+'Вводные'!$B$12/12)^('СРОКИ'!AI10)</f>
        <v/>
      </c>
      <c r="AJ39" s="45">
        <f>1/(1+'Вводные'!$B$12/12)^('СРОКИ'!AJ10)</f>
        <v/>
      </c>
      <c r="AK39" s="45">
        <f>1/(1+'Вводные'!$B$12/12)^('СРОКИ'!AK10)</f>
        <v/>
      </c>
      <c r="AL39" s="45">
        <f>1/(1+'Вводные'!$B$12/12)^('СРОКИ'!AL10)</f>
        <v/>
      </c>
      <c r="AM39" s="45">
        <f>1/(1+'Вводные'!$B$12/12)^('СРОКИ'!AM10)</f>
        <v/>
      </c>
      <c r="AN39" s="45">
        <f>1/(1+'Вводные'!$B$12/12)^('СРОКИ'!AN10)</f>
        <v/>
      </c>
      <c r="AO39" s="45">
        <f>1/(1+'Вводные'!$B$12/12)^('СРОКИ'!AO10)</f>
        <v/>
      </c>
      <c r="AP39" s="45">
        <f>1/(1+'Вводные'!$B$12/12)^('СРОКИ'!AP10)</f>
        <v/>
      </c>
      <c r="AQ39" s="45">
        <f>1/(1+'Вводные'!$B$12/12)^('СРОКИ'!AQ10)</f>
        <v/>
      </c>
      <c r="AR39" s="45">
        <f>1/(1+'Вводные'!$B$12/12)^('СРОКИ'!AR10)</f>
        <v/>
      </c>
      <c r="AS39" s="45">
        <f>1/(1+'Вводные'!$B$12/12)^('СРОКИ'!AS10)</f>
        <v/>
      </c>
      <c r="AT39" s="45">
        <f>1/(1+'Вводные'!$B$12/12)^('СРОКИ'!AT10)</f>
        <v/>
      </c>
      <c r="AU39" s="45">
        <f>1/(1+'Вводные'!$B$12/12)^('СРОКИ'!AU10)</f>
        <v/>
      </c>
      <c r="AV39" s="45">
        <f>1/(1+'Вводные'!$B$12/12)^('СРОКИ'!AV10)</f>
        <v/>
      </c>
      <c r="AW39" s="45">
        <f>1/(1+'Вводные'!$B$12/12)^('СРОКИ'!AW10)</f>
        <v/>
      </c>
      <c r="AX39" s="45">
        <f>1/(1+'Вводные'!$B$12/12)^('СРОКИ'!AX10)</f>
        <v/>
      </c>
      <c r="AY39" s="45">
        <f>1/(1+'Вводные'!$B$12/12)^('СРОКИ'!AY10)</f>
        <v/>
      </c>
      <c r="AZ39" s="45">
        <f>1/(1+'Вводные'!$B$12/12)^('СРОКИ'!AZ10)</f>
        <v/>
      </c>
      <c r="BA39" s="45">
        <f>1/(1+'Вводные'!$B$12/12)^('СРОКИ'!BA10)</f>
        <v/>
      </c>
      <c r="BB39" s="45">
        <f>1/(1+'Вводные'!$B$12/12)^('СРОКИ'!BB10)</f>
        <v/>
      </c>
      <c r="BC39" s="45">
        <f>1/(1+'Вводные'!$B$12/12)^('СРОКИ'!BC10)</f>
        <v/>
      </c>
      <c r="BD39" s="45">
        <f>1/(1+'Вводные'!$B$12/12)^('СРОКИ'!BD10)</f>
        <v/>
      </c>
      <c r="BE39" s="45">
        <f>1/(1+'Вводные'!$B$12/12)^('СРОКИ'!BE10)</f>
        <v/>
      </c>
      <c r="BF39" s="45">
        <f>1/(1+'Вводные'!$B$12/12)^('СРОКИ'!BF10)</f>
        <v/>
      </c>
      <c r="BG39" s="45">
        <f>1/(1+'Вводные'!$B$12/12)^('СРОКИ'!BG10)</f>
        <v/>
      </c>
      <c r="BH39" s="45">
        <f>1/(1+'Вводные'!$B$12/12)^('СРОКИ'!BH10)</f>
        <v/>
      </c>
      <c r="BI39" s="45">
        <f>1/(1+'Вводные'!$B$12/12)^('СРОКИ'!BI10)</f>
        <v/>
      </c>
      <c r="BJ39" s="45">
        <f>1/(1+'Вводные'!$B$12/12)^('СРОКИ'!BJ10)</f>
        <v/>
      </c>
      <c r="BK39" s="45">
        <f>1/(1+'Вводные'!$B$12/12)^('СРОКИ'!BK10)</f>
        <v/>
      </c>
      <c r="BL39" s="45">
        <f>1/(1+'Вводные'!$B$12/12)^('СРОКИ'!BL10)</f>
        <v/>
      </c>
      <c r="BM39" s="45">
        <f>1/(1+'Вводные'!$B$12/12)^('СРОКИ'!BM10)</f>
        <v/>
      </c>
      <c r="BN39" s="45">
        <f>1/(1+'Вводные'!$B$12/12)^('СРОКИ'!BN10)</f>
        <v/>
      </c>
      <c r="BO39" s="45">
        <f>1/(1+'Вводные'!$B$12/12)^('СРОКИ'!BO10)</f>
        <v/>
      </c>
      <c r="BP39" s="45">
        <f>1/(1+'Вводные'!$B$12/12)^('СРОКИ'!BP10)</f>
        <v/>
      </c>
      <c r="BQ39" s="45">
        <f>1/(1+'Вводные'!$B$12/12)^('СРОКИ'!BQ10)</f>
        <v/>
      </c>
      <c r="BR39" s="45">
        <f>1/(1+'Вводные'!$B$12/12)^('СРОКИ'!BR10)</f>
        <v/>
      </c>
      <c r="BS39" s="45">
        <f>1/(1+'Вводные'!$B$12/12)^('СРОКИ'!BS10)</f>
        <v/>
      </c>
      <c r="BT39" s="45">
        <f>1/(1+'Вводные'!$B$12/12)^('СРОКИ'!BT10)</f>
        <v/>
      </c>
      <c r="BU39" s="45">
        <f>1/(1+'Вводные'!$B$12/12)^('СРОКИ'!BU10)</f>
        <v/>
      </c>
      <c r="BV39" s="45">
        <f>1/(1+'Вводные'!$B$12/12)^('СРОКИ'!BV10)</f>
        <v/>
      </c>
      <c r="BW39" s="45">
        <f>1/(1+'Вводные'!$B$12/12)^('СРОКИ'!BW10)</f>
        <v/>
      </c>
      <c r="BX39" s="45">
        <f>1/(1+'Вводные'!$B$12/12)^('СРОКИ'!BX10)</f>
        <v/>
      </c>
      <c r="BY39" s="45">
        <f>1/(1+'Вводные'!$B$12/12)^('СРОКИ'!BY10)</f>
        <v/>
      </c>
      <c r="BZ39" s="45">
        <f>1/(1+'Вводные'!$B$12/12)^('СРОКИ'!BZ10)</f>
        <v/>
      </c>
      <c r="CA39" s="45">
        <f>1/(1+'Вводные'!$B$12/12)^('СРОКИ'!CA10)</f>
        <v/>
      </c>
      <c r="CB39" s="45">
        <f>1/(1+'Вводные'!$B$12/12)^('СРОКИ'!CB10)</f>
        <v/>
      </c>
      <c r="CC39" s="45">
        <f>1/(1+'Вводные'!$B$12/12)^('СРОКИ'!CC10)</f>
        <v/>
      </c>
      <c r="CD39" s="45">
        <f>1/(1+'Вводные'!$B$12/12)^('СРОКИ'!CD10)</f>
        <v/>
      </c>
      <c r="CE39" s="45">
        <f>1/(1+'Вводные'!$B$12/12)^('СРОКИ'!CE10)</f>
        <v/>
      </c>
      <c r="CF39" s="45">
        <f>1/(1+'Вводные'!$B$12/12)^('СРОКИ'!CF10)</f>
        <v/>
      </c>
      <c r="CG39" s="45">
        <f>1/(1+'Вводные'!$B$12/12)^('СРОКИ'!CG10)</f>
        <v/>
      </c>
      <c r="CH39" s="45">
        <f>1/(1+'Вводные'!$B$12/12)^('СРОКИ'!CH10)</f>
        <v/>
      </c>
      <c r="CI39" s="45">
        <f>1/(1+'Вводные'!$B$12/12)^('СРОКИ'!CI10)</f>
        <v/>
      </c>
      <c r="CJ39" s="45">
        <f>1/(1+'Вводные'!$B$12/12)^('СРОКИ'!CJ10)</f>
        <v/>
      </c>
      <c r="CK39" s="45">
        <f>1/(1+'Вводные'!$B$12/12)^('СРОКИ'!CK10)</f>
        <v/>
      </c>
      <c r="CL39" s="45">
        <f>1/(1+'Вводные'!$B$12/12)^('СРОКИ'!CL10)</f>
        <v/>
      </c>
      <c r="CM39" s="45">
        <f>1/(1+'Вводные'!$B$12/12)^('СРОКИ'!CM10)</f>
        <v/>
      </c>
      <c r="CN39" s="45">
        <f>1/(1+'Вводные'!$B$12/12)^('СРОКИ'!CN10)</f>
        <v/>
      </c>
      <c r="CO39" s="45">
        <f>1/(1+'Вводные'!$B$12/12)^('СРОКИ'!CO10)</f>
        <v/>
      </c>
      <c r="CP39" s="45">
        <f>1/(1+'Вводные'!$B$12/12)^('СРОКИ'!CP10)</f>
        <v/>
      </c>
      <c r="CQ39" s="45">
        <f>1/(1+'Вводные'!$B$12/12)^('СРОКИ'!CQ10)</f>
        <v/>
      </c>
      <c r="CR39" s="45">
        <f>1/(1+'Вводные'!$B$12/12)^('СРОКИ'!CR10)</f>
        <v/>
      </c>
      <c r="CS39" s="45">
        <f>1/(1+'Вводные'!$B$12/12)^('СРОКИ'!CS10)</f>
        <v/>
      </c>
      <c r="CT39" s="45">
        <f>1/(1+'Вводные'!$B$12/12)^('СРОКИ'!CT10)</f>
        <v/>
      </c>
      <c r="CU39" s="45">
        <f>1/(1+'Вводные'!$B$12/12)^('СРОКИ'!CU10)</f>
        <v/>
      </c>
      <c r="CV39" s="45">
        <f>1/(1+'Вводные'!$B$12/12)^('СРОКИ'!CV10)</f>
        <v/>
      </c>
      <c r="CW39" s="45">
        <f>1/(1+'Вводные'!$B$12/12)^('СРОКИ'!CW10)</f>
        <v/>
      </c>
      <c r="CX39" s="45">
        <f>1/(1+'Вводные'!$B$12/12)^('СРОКИ'!CX10)</f>
        <v/>
      </c>
      <c r="CY39" s="45">
        <f>1/(1+'Вводные'!$B$12/12)^('СРОКИ'!CY10)</f>
        <v/>
      </c>
      <c r="CZ39" s="45">
        <f>1/(1+'Вводные'!$B$12/12)^('СРОКИ'!CZ10)</f>
        <v/>
      </c>
      <c r="DA39" s="45">
        <f>1/(1+'Вводные'!$B$12/12)^('СРОКИ'!DA10)</f>
        <v/>
      </c>
      <c r="DB39" s="45">
        <f>1/(1+'Вводные'!$B$12/12)^('СРОКИ'!DB10)</f>
        <v/>
      </c>
      <c r="DC39" s="45">
        <f>1/(1+'Вводные'!$B$12/12)^('СРОКИ'!DC10)</f>
        <v/>
      </c>
      <c r="DD39" s="45">
        <f>1/(1+'Вводные'!$B$12/12)^('СРОКИ'!DD10)</f>
        <v/>
      </c>
      <c r="DE39" s="45">
        <f>1/(1+'Вводные'!$B$12/12)^('СРОКИ'!DE10)</f>
        <v/>
      </c>
      <c r="DF39" s="45">
        <f>1/(1+'Вводные'!$B$12/12)^('СРОКИ'!DF10)</f>
        <v/>
      </c>
      <c r="DG39" s="45">
        <f>1/(1+'Вводные'!$B$12/12)^('СРОКИ'!DG10)</f>
        <v/>
      </c>
      <c r="DH39" s="45">
        <f>1/(1+'Вводные'!$B$12/12)^('СРОКИ'!DH10)</f>
        <v/>
      </c>
      <c r="DI39" s="45">
        <f>1/(1+'Вводные'!$B$12/12)^('СРОКИ'!DI10)</f>
        <v/>
      </c>
      <c r="DJ39" s="45">
        <f>1/(1+'Вводные'!$B$12/12)^('СРОКИ'!DJ10)</f>
        <v/>
      </c>
      <c r="DK39" s="45">
        <f>1/(1+'Вводные'!$B$12/12)^('СРОКИ'!DK10)</f>
        <v/>
      </c>
      <c r="DL39" s="45">
        <f>1/(1+'Вводные'!$B$12/12)^('СРОКИ'!DL10)</f>
        <v/>
      </c>
      <c r="DM39" s="45">
        <f>1/(1+'Вводные'!$B$12/12)^('СРОКИ'!DM10)</f>
        <v/>
      </c>
    </row>
    <row r="40">
      <c r="A40" t="inlineStr">
        <is>
          <t>NPV собственника</t>
        </is>
      </c>
      <c r="B40" s="26">
        <f>SUMPRODUCT('CF_Продажа'!D33:DM33,'CF_Продажа'!D39:DM39)</f>
        <v/>
      </c>
      <c r="C40" s="3" t="inlineStr">
        <is>
          <t>млн ₽</t>
        </is>
      </c>
    </row>
    <row r="41">
      <c r="A41" t="inlineStr">
        <is>
          <t>Пик собственных денег</t>
        </is>
      </c>
      <c r="B41" s="26">
        <f>-MIN('CF_Продажа'!D34:DM34)</f>
        <v/>
      </c>
      <c r="C41" s="3" t="inlineStr">
        <is>
          <t>млн ₽</t>
        </is>
      </c>
    </row>
    <row r="42">
      <c r="A42" t="inlineStr">
        <is>
          <t>Чистая прибыль (сумма потока собственника)</t>
        </is>
      </c>
      <c r="B42" s="26">
        <f>'CF_Продажа'!B33</f>
        <v/>
      </c>
      <c r="C42" s="3" t="inlineStr">
        <is>
          <t>млн ₽</t>
        </is>
      </c>
    </row>
  </sheetData>
  <pageMargins left="0.75" right="0.75" top="1" bottom="1" header="0.5" footer="0.5"/>
  <pageSetup orientation="landscape" scale="52" fitToHeight="0" fitToWidth="1"/>
  <colBreaks count="9" manualBreakCount="9">
    <brk id="15" min="0" max="16383" man="1"/>
    <brk id="27" min="0" max="16383" man="1"/>
    <brk id="39" min="0" max="16383" man="1"/>
    <brk id="51" min="0" max="16383" man="1"/>
    <brk id="63" min="0" max="16383" man="1"/>
    <brk id="75" min="0" max="16383" man="1"/>
    <brk id="87" min="0" max="16383" man="1"/>
    <brk id="99" min="0" max="16383" man="1"/>
    <brk id="111" min="0" max="16383" man="1"/>
  </colBreaks>
</worksheet>
</file>

<file path=xl/worksheets/sheet12.xml><?xml version="1.0" encoding="utf-8"?>
<worksheet xmlns="http://schemas.openxmlformats.org/spreadsheetml/2006/main">
  <sheetPr>
    <tabColor rgb="00C26A0A"/>
    <outlinePr summaryBelow="1" summaryRight="1"/>
    <pageSetUpPr fitToPage="0"/>
  </sheetPr>
  <dimension ref="A1:DN4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</cols>
  <sheetData>
    <row r="1">
      <c r="A1" s="1" t="inlineStr">
        <is>
          <t>CF_АРЕНДА · НДС, КРЕДИТ, ДЕНЬГИ СОБСТВЕННИКА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</row>
    <row r="2">
      <c r="A2" s="3" t="inlineStr">
        <is>
          <t>Кредит: выборка — доля затрат до ввода; проценты до ввода капитализируются; после ввода — погашение.</t>
        </is>
      </c>
    </row>
    <row r="3">
      <c r="A3" s="9" t="inlineStr">
        <is>
          <t>Показатель</t>
        </is>
      </c>
      <c r="B3" s="9" t="inlineStr">
        <is>
          <t>Итого / вводная</t>
        </is>
      </c>
      <c r="C3" s="9" t="inlineStr">
        <is>
          <t>Ед.</t>
        </is>
      </c>
      <c r="D3" s="34">
        <f>СРОКИ!D3</f>
        <v/>
      </c>
      <c r="E3" s="34">
        <f>СРОКИ!E3</f>
        <v/>
      </c>
      <c r="F3" s="34">
        <f>СРОКИ!F3</f>
        <v/>
      </c>
      <c r="G3" s="34">
        <f>СРОКИ!G3</f>
        <v/>
      </c>
      <c r="H3" s="34">
        <f>СРОКИ!H3</f>
        <v/>
      </c>
      <c r="I3" s="34">
        <f>СРОКИ!I3</f>
        <v/>
      </c>
      <c r="J3" s="34">
        <f>СРОКИ!J3</f>
        <v/>
      </c>
      <c r="K3" s="34">
        <f>СРОКИ!K3</f>
        <v/>
      </c>
      <c r="L3" s="34">
        <f>СРОКИ!L3</f>
        <v/>
      </c>
      <c r="M3" s="34">
        <f>СРОКИ!M3</f>
        <v/>
      </c>
      <c r="N3" s="34">
        <f>СРОКИ!N3</f>
        <v/>
      </c>
      <c r="O3" s="34">
        <f>СРОКИ!O3</f>
        <v/>
      </c>
      <c r="P3" s="34">
        <f>СРОКИ!P3</f>
        <v/>
      </c>
      <c r="Q3" s="34">
        <f>СРОКИ!Q3</f>
        <v/>
      </c>
      <c r="R3" s="34">
        <f>СРОКИ!R3</f>
        <v/>
      </c>
      <c r="S3" s="34">
        <f>СРОКИ!S3</f>
        <v/>
      </c>
      <c r="T3" s="34">
        <f>СРОКИ!T3</f>
        <v/>
      </c>
      <c r="U3" s="34">
        <f>СРОКИ!U3</f>
        <v/>
      </c>
      <c r="V3" s="34">
        <f>СРОКИ!V3</f>
        <v/>
      </c>
      <c r="W3" s="34">
        <f>СРОКИ!W3</f>
        <v/>
      </c>
      <c r="X3" s="34">
        <f>СРОКИ!X3</f>
        <v/>
      </c>
      <c r="Y3" s="34">
        <f>СРОКИ!Y3</f>
        <v/>
      </c>
      <c r="Z3" s="34">
        <f>СРОКИ!Z3</f>
        <v/>
      </c>
      <c r="AA3" s="34">
        <f>СРОКИ!AA3</f>
        <v/>
      </c>
      <c r="AB3" s="34">
        <f>СРОКИ!AB3</f>
        <v/>
      </c>
      <c r="AC3" s="34">
        <f>СРОКИ!AC3</f>
        <v/>
      </c>
      <c r="AD3" s="34">
        <f>СРОКИ!AD3</f>
        <v/>
      </c>
      <c r="AE3" s="34">
        <f>СРОКИ!AE3</f>
        <v/>
      </c>
      <c r="AF3" s="34">
        <f>СРОКИ!AF3</f>
        <v/>
      </c>
      <c r="AG3" s="34">
        <f>СРОКИ!AG3</f>
        <v/>
      </c>
      <c r="AH3" s="34">
        <f>СРОКИ!AH3</f>
        <v/>
      </c>
      <c r="AI3" s="34">
        <f>СРОКИ!AI3</f>
        <v/>
      </c>
      <c r="AJ3" s="34">
        <f>СРОКИ!AJ3</f>
        <v/>
      </c>
      <c r="AK3" s="34">
        <f>СРОКИ!AK3</f>
        <v/>
      </c>
      <c r="AL3" s="34">
        <f>СРОКИ!AL3</f>
        <v/>
      </c>
      <c r="AM3" s="34">
        <f>СРОКИ!AM3</f>
        <v/>
      </c>
      <c r="AN3" s="34">
        <f>СРОКИ!AN3</f>
        <v/>
      </c>
      <c r="AO3" s="34">
        <f>СРОКИ!AO3</f>
        <v/>
      </c>
      <c r="AP3" s="34">
        <f>СРОКИ!AP3</f>
        <v/>
      </c>
      <c r="AQ3" s="34">
        <f>СРОКИ!AQ3</f>
        <v/>
      </c>
      <c r="AR3" s="34">
        <f>СРОКИ!AR3</f>
        <v/>
      </c>
      <c r="AS3" s="34">
        <f>СРОКИ!AS3</f>
        <v/>
      </c>
      <c r="AT3" s="34">
        <f>СРОКИ!AT3</f>
        <v/>
      </c>
      <c r="AU3" s="34">
        <f>СРОКИ!AU3</f>
        <v/>
      </c>
      <c r="AV3" s="34">
        <f>СРОКИ!AV3</f>
        <v/>
      </c>
      <c r="AW3" s="34">
        <f>СРОКИ!AW3</f>
        <v/>
      </c>
      <c r="AX3" s="34">
        <f>СРОКИ!AX3</f>
        <v/>
      </c>
      <c r="AY3" s="34">
        <f>СРОКИ!AY3</f>
        <v/>
      </c>
      <c r="AZ3" s="34">
        <f>СРОКИ!AZ3</f>
        <v/>
      </c>
      <c r="BA3" s="34">
        <f>СРОКИ!BA3</f>
        <v/>
      </c>
      <c r="BB3" s="34">
        <f>СРОКИ!BB3</f>
        <v/>
      </c>
      <c r="BC3" s="34">
        <f>СРОКИ!BC3</f>
        <v/>
      </c>
      <c r="BD3" s="34">
        <f>СРОКИ!BD3</f>
        <v/>
      </c>
      <c r="BE3" s="34">
        <f>СРОКИ!BE3</f>
        <v/>
      </c>
      <c r="BF3" s="34">
        <f>СРОКИ!BF3</f>
        <v/>
      </c>
      <c r="BG3" s="34">
        <f>СРОКИ!BG3</f>
        <v/>
      </c>
      <c r="BH3" s="34">
        <f>СРОКИ!BH3</f>
        <v/>
      </c>
      <c r="BI3" s="34">
        <f>СРОКИ!BI3</f>
        <v/>
      </c>
      <c r="BJ3" s="34">
        <f>СРОКИ!BJ3</f>
        <v/>
      </c>
      <c r="BK3" s="34">
        <f>СРОКИ!BK3</f>
        <v/>
      </c>
      <c r="BL3" s="34">
        <f>СРОКИ!BL3</f>
        <v/>
      </c>
      <c r="BM3" s="34">
        <f>СРОКИ!BM3</f>
        <v/>
      </c>
      <c r="BN3" s="34">
        <f>СРОКИ!BN3</f>
        <v/>
      </c>
      <c r="BO3" s="34">
        <f>СРОКИ!BO3</f>
        <v/>
      </c>
      <c r="BP3" s="34">
        <f>СРОКИ!BP3</f>
        <v/>
      </c>
      <c r="BQ3" s="34">
        <f>СРОКИ!BQ3</f>
        <v/>
      </c>
      <c r="BR3" s="34">
        <f>СРОКИ!BR3</f>
        <v/>
      </c>
      <c r="BS3" s="34">
        <f>СРОКИ!BS3</f>
        <v/>
      </c>
      <c r="BT3" s="34">
        <f>СРОКИ!BT3</f>
        <v/>
      </c>
      <c r="BU3" s="34">
        <f>СРОКИ!BU3</f>
        <v/>
      </c>
      <c r="BV3" s="34">
        <f>СРОКИ!BV3</f>
        <v/>
      </c>
      <c r="BW3" s="34">
        <f>СРОКИ!BW3</f>
        <v/>
      </c>
      <c r="BX3" s="34">
        <f>СРОКИ!BX3</f>
        <v/>
      </c>
      <c r="BY3" s="34">
        <f>СРОКИ!BY3</f>
        <v/>
      </c>
      <c r="BZ3" s="34">
        <f>СРОКИ!BZ3</f>
        <v/>
      </c>
      <c r="CA3" s="34">
        <f>СРОКИ!CA3</f>
        <v/>
      </c>
      <c r="CB3" s="34">
        <f>СРОКИ!CB3</f>
        <v/>
      </c>
      <c r="CC3" s="34">
        <f>СРОКИ!CC3</f>
        <v/>
      </c>
      <c r="CD3" s="34">
        <f>СРОКИ!CD3</f>
        <v/>
      </c>
      <c r="CE3" s="34">
        <f>СРОКИ!CE3</f>
        <v/>
      </c>
      <c r="CF3" s="34">
        <f>СРОКИ!CF3</f>
        <v/>
      </c>
      <c r="CG3" s="34">
        <f>СРОКИ!CG3</f>
        <v/>
      </c>
      <c r="CH3" s="34">
        <f>СРОКИ!CH3</f>
        <v/>
      </c>
      <c r="CI3" s="34">
        <f>СРОКИ!CI3</f>
        <v/>
      </c>
      <c r="CJ3" s="34">
        <f>СРОКИ!CJ3</f>
        <v/>
      </c>
      <c r="CK3" s="34">
        <f>СРОКИ!CK3</f>
        <v/>
      </c>
      <c r="CL3" s="34">
        <f>СРОКИ!CL3</f>
        <v/>
      </c>
      <c r="CM3" s="34">
        <f>СРОКИ!CM3</f>
        <v/>
      </c>
      <c r="CN3" s="34">
        <f>СРОКИ!CN3</f>
        <v/>
      </c>
      <c r="CO3" s="34">
        <f>СРОКИ!CO3</f>
        <v/>
      </c>
      <c r="CP3" s="34">
        <f>СРОКИ!CP3</f>
        <v/>
      </c>
      <c r="CQ3" s="34">
        <f>СРОКИ!CQ3</f>
        <v/>
      </c>
      <c r="CR3" s="34">
        <f>СРОКИ!CR3</f>
        <v/>
      </c>
      <c r="CS3" s="34">
        <f>СРОКИ!CS3</f>
        <v/>
      </c>
      <c r="CT3" s="34">
        <f>СРОКИ!CT3</f>
        <v/>
      </c>
      <c r="CU3" s="34">
        <f>СРОКИ!CU3</f>
        <v/>
      </c>
      <c r="CV3" s="34">
        <f>СРОКИ!CV3</f>
        <v/>
      </c>
      <c r="CW3" s="34">
        <f>СРОКИ!CW3</f>
        <v/>
      </c>
      <c r="CX3" s="34">
        <f>СРОКИ!CX3</f>
        <v/>
      </c>
      <c r="CY3" s="34">
        <f>СРОКИ!CY3</f>
        <v/>
      </c>
      <c r="CZ3" s="34">
        <f>СРОКИ!CZ3</f>
        <v/>
      </c>
      <c r="DA3" s="34">
        <f>СРОКИ!DA3</f>
        <v/>
      </c>
      <c r="DB3" s="34">
        <f>СРОКИ!DB3</f>
        <v/>
      </c>
      <c r="DC3" s="34">
        <f>СРОКИ!DC3</f>
        <v/>
      </c>
      <c r="DD3" s="34">
        <f>СРОКИ!DD3</f>
        <v/>
      </c>
      <c r="DE3" s="34">
        <f>СРОКИ!DE3</f>
        <v/>
      </c>
      <c r="DF3" s="34">
        <f>СРОКИ!DF3</f>
        <v/>
      </c>
      <c r="DG3" s="34">
        <f>СРОКИ!DG3</f>
        <v/>
      </c>
      <c r="DH3" s="34">
        <f>СРОКИ!DH3</f>
        <v/>
      </c>
      <c r="DI3" s="34">
        <f>СРОКИ!DI3</f>
        <v/>
      </c>
      <c r="DJ3" s="34">
        <f>СРОКИ!DJ3</f>
        <v/>
      </c>
      <c r="DK3" s="34">
        <f>СРОКИ!DK3</f>
        <v/>
      </c>
      <c r="DL3" s="34">
        <f>СРОКИ!DL3</f>
        <v/>
      </c>
      <c r="DM3" s="34">
        <f>СРОКИ!DM3</f>
        <v/>
      </c>
    </row>
    <row r="4">
      <c r="A4" t="inlineStr">
        <is>
          <t>Период</t>
        </is>
      </c>
      <c r="C4" t="inlineStr">
        <is>
          <t>№</t>
        </is>
      </c>
      <c r="D4" s="35" t="n">
        <v>0</v>
      </c>
      <c r="E4" s="35" t="n">
        <v>1</v>
      </c>
      <c r="F4" s="35" t="n">
        <v>2</v>
      </c>
      <c r="G4" s="35" t="n">
        <v>3</v>
      </c>
      <c r="H4" s="35" t="n">
        <v>4</v>
      </c>
      <c r="I4" s="35" t="n">
        <v>5</v>
      </c>
      <c r="J4" s="35" t="n">
        <v>6</v>
      </c>
      <c r="K4" s="35" t="n">
        <v>7</v>
      </c>
      <c r="L4" s="35" t="n">
        <v>8</v>
      </c>
      <c r="M4" s="35" t="n">
        <v>9</v>
      </c>
      <c r="N4" s="35" t="n">
        <v>10</v>
      </c>
      <c r="O4" s="35" t="n">
        <v>11</v>
      </c>
      <c r="P4" s="35" t="n">
        <v>12</v>
      </c>
      <c r="Q4" s="35" t="n">
        <v>13</v>
      </c>
      <c r="R4" s="35" t="n">
        <v>14</v>
      </c>
      <c r="S4" s="35" t="n">
        <v>15</v>
      </c>
      <c r="T4" s="35" t="n">
        <v>16</v>
      </c>
      <c r="U4" s="35" t="n">
        <v>17</v>
      </c>
      <c r="V4" s="35" t="n">
        <v>18</v>
      </c>
      <c r="W4" s="35" t="n">
        <v>19</v>
      </c>
      <c r="X4" s="35" t="n">
        <v>20</v>
      </c>
      <c r="Y4" s="35" t="n">
        <v>21</v>
      </c>
      <c r="Z4" s="35" t="n">
        <v>22</v>
      </c>
      <c r="AA4" s="35" t="n">
        <v>23</v>
      </c>
      <c r="AB4" s="35" t="n">
        <v>24</v>
      </c>
      <c r="AC4" s="35" t="n">
        <v>25</v>
      </c>
      <c r="AD4" s="35" t="n">
        <v>26</v>
      </c>
      <c r="AE4" s="35" t="n">
        <v>27</v>
      </c>
      <c r="AF4" s="35" t="n">
        <v>28</v>
      </c>
      <c r="AG4" s="35" t="n">
        <v>29</v>
      </c>
      <c r="AH4" s="35" t="n">
        <v>30</v>
      </c>
      <c r="AI4" s="35" t="n">
        <v>31</v>
      </c>
      <c r="AJ4" s="35" t="n">
        <v>32</v>
      </c>
      <c r="AK4" s="35" t="n">
        <v>33</v>
      </c>
      <c r="AL4" s="35" t="n">
        <v>34</v>
      </c>
      <c r="AM4" s="35" t="n">
        <v>35</v>
      </c>
      <c r="AN4" s="35" t="n">
        <v>36</v>
      </c>
      <c r="AO4" s="35" t="n">
        <v>37</v>
      </c>
      <c r="AP4" s="35" t="n">
        <v>38</v>
      </c>
      <c r="AQ4" s="35" t="n">
        <v>39</v>
      </c>
      <c r="AR4" s="35" t="n">
        <v>40</v>
      </c>
      <c r="AS4" s="35" t="n">
        <v>41</v>
      </c>
      <c r="AT4" s="35" t="n">
        <v>42</v>
      </c>
      <c r="AU4" s="35" t="n">
        <v>43</v>
      </c>
      <c r="AV4" s="35" t="n">
        <v>44</v>
      </c>
      <c r="AW4" s="35" t="n">
        <v>45</v>
      </c>
      <c r="AX4" s="35" t="n">
        <v>46</v>
      </c>
      <c r="AY4" s="35" t="n">
        <v>47</v>
      </c>
      <c r="AZ4" s="35" t="n">
        <v>48</v>
      </c>
      <c r="BA4" s="35" t="n">
        <v>49</v>
      </c>
      <c r="BB4" s="35" t="n">
        <v>50</v>
      </c>
      <c r="BC4" s="35" t="n">
        <v>51</v>
      </c>
      <c r="BD4" s="35" t="n">
        <v>52</v>
      </c>
      <c r="BE4" s="35" t="n">
        <v>53</v>
      </c>
      <c r="BF4" s="35" t="n">
        <v>54</v>
      </c>
      <c r="BG4" s="35" t="n">
        <v>55</v>
      </c>
      <c r="BH4" s="35" t="n">
        <v>56</v>
      </c>
      <c r="BI4" s="35" t="n">
        <v>57</v>
      </c>
      <c r="BJ4" s="35" t="n">
        <v>58</v>
      </c>
      <c r="BK4" s="35" t="n">
        <v>59</v>
      </c>
      <c r="BL4" s="35" t="n">
        <v>60</v>
      </c>
      <c r="BM4" s="35" t="n">
        <v>61</v>
      </c>
      <c r="BN4" s="35" t="n">
        <v>62</v>
      </c>
      <c r="BO4" s="35" t="n">
        <v>63</v>
      </c>
      <c r="BP4" s="35" t="n">
        <v>64</v>
      </c>
      <c r="BQ4" s="35" t="n">
        <v>65</v>
      </c>
      <c r="BR4" s="35" t="n">
        <v>66</v>
      </c>
      <c r="BS4" s="35" t="n">
        <v>67</v>
      </c>
      <c r="BT4" s="35" t="n">
        <v>68</v>
      </c>
      <c r="BU4" s="35" t="n">
        <v>69</v>
      </c>
      <c r="BV4" s="35" t="n">
        <v>70</v>
      </c>
      <c r="BW4" s="35" t="n">
        <v>71</v>
      </c>
      <c r="BX4" s="35" t="n">
        <v>72</v>
      </c>
      <c r="BY4" s="35" t="n">
        <v>73</v>
      </c>
      <c r="BZ4" s="35" t="n">
        <v>74</v>
      </c>
      <c r="CA4" s="35" t="n">
        <v>75</v>
      </c>
      <c r="CB4" s="35" t="n">
        <v>76</v>
      </c>
      <c r="CC4" s="35" t="n">
        <v>77</v>
      </c>
      <c r="CD4" s="35" t="n">
        <v>78</v>
      </c>
      <c r="CE4" s="35" t="n">
        <v>79</v>
      </c>
      <c r="CF4" s="35" t="n">
        <v>80</v>
      </c>
      <c r="CG4" s="35" t="n">
        <v>81</v>
      </c>
      <c r="CH4" s="35" t="n">
        <v>82</v>
      </c>
      <c r="CI4" s="35" t="n">
        <v>83</v>
      </c>
      <c r="CJ4" s="35" t="n">
        <v>84</v>
      </c>
      <c r="CK4" s="35" t="n">
        <v>85</v>
      </c>
      <c r="CL4" s="35" t="n">
        <v>86</v>
      </c>
      <c r="CM4" s="35" t="n">
        <v>87</v>
      </c>
      <c r="CN4" s="35" t="n">
        <v>88</v>
      </c>
      <c r="CO4" s="35" t="n">
        <v>89</v>
      </c>
      <c r="CP4" s="35" t="n">
        <v>90</v>
      </c>
      <c r="CQ4" s="35" t="n">
        <v>91</v>
      </c>
      <c r="CR4" s="35" t="n">
        <v>92</v>
      </c>
      <c r="CS4" s="35" t="n">
        <v>93</v>
      </c>
      <c r="CT4" s="35" t="n">
        <v>94</v>
      </c>
      <c r="CU4" s="35" t="n">
        <v>95</v>
      </c>
      <c r="CV4" s="35" t="n">
        <v>96</v>
      </c>
      <c r="CW4" s="35" t="n">
        <v>97</v>
      </c>
      <c r="CX4" s="35" t="n">
        <v>98</v>
      </c>
      <c r="CY4" s="35" t="n">
        <v>99</v>
      </c>
      <c r="CZ4" s="35" t="n">
        <v>100</v>
      </c>
      <c r="DA4" s="35" t="n">
        <v>101</v>
      </c>
      <c r="DB4" s="35" t="n">
        <v>102</v>
      </c>
      <c r="DC4" s="35" t="n">
        <v>103</v>
      </c>
      <c r="DD4" s="35" t="n">
        <v>104</v>
      </c>
      <c r="DE4" s="35" t="n">
        <v>105</v>
      </c>
      <c r="DF4" s="35" t="n">
        <v>106</v>
      </c>
      <c r="DG4" s="35" t="n">
        <v>107</v>
      </c>
      <c r="DH4" s="35" t="n">
        <v>108</v>
      </c>
      <c r="DI4" s="35" t="n">
        <v>109</v>
      </c>
      <c r="DJ4" s="35" t="n">
        <v>110</v>
      </c>
      <c r="DK4" s="35" t="n">
        <v>111</v>
      </c>
      <c r="DL4" s="35" t="n">
        <v>112</v>
      </c>
      <c r="DM4" s="35" t="n">
        <v>113</v>
      </c>
    </row>
    <row r="5">
      <c r="A5" t="inlineStr">
        <is>
          <t>Последний месяц пути</t>
        </is>
      </c>
      <c r="B5" s="30">
        <f>'СРОКИ'!$B$9</f>
        <v/>
      </c>
      <c r="C5" s="3" t="inlineStr">
        <is>
          <t>№</t>
        </is>
      </c>
    </row>
    <row r="6">
      <c r="A6" s="36" t="inlineStr">
        <is>
          <t>Месяц пути</t>
        </is>
      </c>
      <c r="B6" s="10" t="n"/>
      <c r="C6" s="37" t="inlineStr">
        <is>
          <t>0/1</t>
        </is>
      </c>
      <c r="D6" s="38">
        <f>IF('СРОКИ'!D10&lt;='CF_Аренда'!$B$5,1,0)</f>
        <v/>
      </c>
      <c r="E6" s="38">
        <f>IF('СРОКИ'!E10&lt;='CF_Аренда'!$B$5,1,0)</f>
        <v/>
      </c>
      <c r="F6" s="38">
        <f>IF('СРОКИ'!F10&lt;='CF_Аренда'!$B$5,1,0)</f>
        <v/>
      </c>
      <c r="G6" s="38">
        <f>IF('СРОКИ'!G10&lt;='CF_Аренда'!$B$5,1,0)</f>
        <v/>
      </c>
      <c r="H6" s="38">
        <f>IF('СРОКИ'!H10&lt;='CF_Аренда'!$B$5,1,0)</f>
        <v/>
      </c>
      <c r="I6" s="38">
        <f>IF('СРОКИ'!I10&lt;='CF_Аренда'!$B$5,1,0)</f>
        <v/>
      </c>
      <c r="J6" s="38">
        <f>IF('СРОКИ'!J10&lt;='CF_Аренда'!$B$5,1,0)</f>
        <v/>
      </c>
      <c r="K6" s="38">
        <f>IF('СРОКИ'!K10&lt;='CF_Аренда'!$B$5,1,0)</f>
        <v/>
      </c>
      <c r="L6" s="38">
        <f>IF('СРОКИ'!L10&lt;='CF_Аренда'!$B$5,1,0)</f>
        <v/>
      </c>
      <c r="M6" s="38">
        <f>IF('СРОКИ'!M10&lt;='CF_Аренда'!$B$5,1,0)</f>
        <v/>
      </c>
      <c r="N6" s="38">
        <f>IF('СРОКИ'!N10&lt;='CF_Аренда'!$B$5,1,0)</f>
        <v/>
      </c>
      <c r="O6" s="38">
        <f>IF('СРОКИ'!O10&lt;='CF_Аренда'!$B$5,1,0)</f>
        <v/>
      </c>
      <c r="P6" s="38">
        <f>IF('СРОКИ'!P10&lt;='CF_Аренда'!$B$5,1,0)</f>
        <v/>
      </c>
      <c r="Q6" s="38">
        <f>IF('СРОКИ'!Q10&lt;='CF_Аренда'!$B$5,1,0)</f>
        <v/>
      </c>
      <c r="R6" s="38">
        <f>IF('СРОКИ'!R10&lt;='CF_Аренда'!$B$5,1,0)</f>
        <v/>
      </c>
      <c r="S6" s="38">
        <f>IF('СРОКИ'!S10&lt;='CF_Аренда'!$B$5,1,0)</f>
        <v/>
      </c>
      <c r="T6" s="38">
        <f>IF('СРОКИ'!T10&lt;='CF_Аренда'!$B$5,1,0)</f>
        <v/>
      </c>
      <c r="U6" s="38">
        <f>IF('СРОКИ'!U10&lt;='CF_Аренда'!$B$5,1,0)</f>
        <v/>
      </c>
      <c r="V6" s="38">
        <f>IF('СРОКИ'!V10&lt;='CF_Аренда'!$B$5,1,0)</f>
        <v/>
      </c>
      <c r="W6" s="38">
        <f>IF('СРОКИ'!W10&lt;='CF_Аренда'!$B$5,1,0)</f>
        <v/>
      </c>
      <c r="X6" s="38">
        <f>IF('СРОКИ'!X10&lt;='CF_Аренда'!$B$5,1,0)</f>
        <v/>
      </c>
      <c r="Y6" s="38">
        <f>IF('СРОКИ'!Y10&lt;='CF_Аренда'!$B$5,1,0)</f>
        <v/>
      </c>
      <c r="Z6" s="38">
        <f>IF('СРОКИ'!Z10&lt;='CF_Аренда'!$B$5,1,0)</f>
        <v/>
      </c>
      <c r="AA6" s="38">
        <f>IF('СРОКИ'!AA10&lt;='CF_Аренда'!$B$5,1,0)</f>
        <v/>
      </c>
      <c r="AB6" s="38">
        <f>IF('СРОКИ'!AB10&lt;='CF_Аренда'!$B$5,1,0)</f>
        <v/>
      </c>
      <c r="AC6" s="38">
        <f>IF('СРОКИ'!AC10&lt;='CF_Аренда'!$B$5,1,0)</f>
        <v/>
      </c>
      <c r="AD6" s="38">
        <f>IF('СРОКИ'!AD10&lt;='CF_Аренда'!$B$5,1,0)</f>
        <v/>
      </c>
      <c r="AE6" s="38">
        <f>IF('СРОКИ'!AE10&lt;='CF_Аренда'!$B$5,1,0)</f>
        <v/>
      </c>
      <c r="AF6" s="38">
        <f>IF('СРОКИ'!AF10&lt;='CF_Аренда'!$B$5,1,0)</f>
        <v/>
      </c>
      <c r="AG6" s="38">
        <f>IF('СРОКИ'!AG10&lt;='CF_Аренда'!$B$5,1,0)</f>
        <v/>
      </c>
      <c r="AH6" s="38">
        <f>IF('СРОКИ'!AH10&lt;='CF_Аренда'!$B$5,1,0)</f>
        <v/>
      </c>
      <c r="AI6" s="38">
        <f>IF('СРОКИ'!AI10&lt;='CF_Аренда'!$B$5,1,0)</f>
        <v/>
      </c>
      <c r="AJ6" s="38">
        <f>IF('СРОКИ'!AJ10&lt;='CF_Аренда'!$B$5,1,0)</f>
        <v/>
      </c>
      <c r="AK6" s="38">
        <f>IF('СРОКИ'!AK10&lt;='CF_Аренда'!$B$5,1,0)</f>
        <v/>
      </c>
      <c r="AL6" s="38">
        <f>IF('СРОКИ'!AL10&lt;='CF_Аренда'!$B$5,1,0)</f>
        <v/>
      </c>
      <c r="AM6" s="38">
        <f>IF('СРОКИ'!AM10&lt;='CF_Аренда'!$B$5,1,0)</f>
        <v/>
      </c>
      <c r="AN6" s="38">
        <f>IF('СРОКИ'!AN10&lt;='CF_Аренда'!$B$5,1,0)</f>
        <v/>
      </c>
      <c r="AO6" s="38">
        <f>IF('СРОКИ'!AO10&lt;='CF_Аренда'!$B$5,1,0)</f>
        <v/>
      </c>
      <c r="AP6" s="38">
        <f>IF('СРОКИ'!AP10&lt;='CF_Аренда'!$B$5,1,0)</f>
        <v/>
      </c>
      <c r="AQ6" s="38">
        <f>IF('СРОКИ'!AQ10&lt;='CF_Аренда'!$B$5,1,0)</f>
        <v/>
      </c>
      <c r="AR6" s="38">
        <f>IF('СРОКИ'!AR10&lt;='CF_Аренда'!$B$5,1,0)</f>
        <v/>
      </c>
      <c r="AS6" s="38">
        <f>IF('СРОКИ'!AS10&lt;='CF_Аренда'!$B$5,1,0)</f>
        <v/>
      </c>
      <c r="AT6" s="38">
        <f>IF('СРОКИ'!AT10&lt;='CF_Аренда'!$B$5,1,0)</f>
        <v/>
      </c>
      <c r="AU6" s="38">
        <f>IF('СРОКИ'!AU10&lt;='CF_Аренда'!$B$5,1,0)</f>
        <v/>
      </c>
      <c r="AV6" s="38">
        <f>IF('СРОКИ'!AV10&lt;='CF_Аренда'!$B$5,1,0)</f>
        <v/>
      </c>
      <c r="AW6" s="38">
        <f>IF('СРОКИ'!AW10&lt;='CF_Аренда'!$B$5,1,0)</f>
        <v/>
      </c>
      <c r="AX6" s="38">
        <f>IF('СРОКИ'!AX10&lt;='CF_Аренда'!$B$5,1,0)</f>
        <v/>
      </c>
      <c r="AY6" s="38">
        <f>IF('СРОКИ'!AY10&lt;='CF_Аренда'!$B$5,1,0)</f>
        <v/>
      </c>
      <c r="AZ6" s="38">
        <f>IF('СРОКИ'!AZ10&lt;='CF_Аренда'!$B$5,1,0)</f>
        <v/>
      </c>
      <c r="BA6" s="38">
        <f>IF('СРОКИ'!BA10&lt;='CF_Аренда'!$B$5,1,0)</f>
        <v/>
      </c>
      <c r="BB6" s="38">
        <f>IF('СРОКИ'!BB10&lt;='CF_Аренда'!$B$5,1,0)</f>
        <v/>
      </c>
      <c r="BC6" s="38">
        <f>IF('СРОКИ'!BC10&lt;='CF_Аренда'!$B$5,1,0)</f>
        <v/>
      </c>
      <c r="BD6" s="38">
        <f>IF('СРОКИ'!BD10&lt;='CF_Аренда'!$B$5,1,0)</f>
        <v/>
      </c>
      <c r="BE6" s="38">
        <f>IF('СРОКИ'!BE10&lt;='CF_Аренда'!$B$5,1,0)</f>
        <v/>
      </c>
      <c r="BF6" s="38">
        <f>IF('СРОКИ'!BF10&lt;='CF_Аренда'!$B$5,1,0)</f>
        <v/>
      </c>
      <c r="BG6" s="38">
        <f>IF('СРОКИ'!BG10&lt;='CF_Аренда'!$B$5,1,0)</f>
        <v/>
      </c>
      <c r="BH6" s="38">
        <f>IF('СРОКИ'!BH10&lt;='CF_Аренда'!$B$5,1,0)</f>
        <v/>
      </c>
      <c r="BI6" s="38">
        <f>IF('СРОКИ'!BI10&lt;='CF_Аренда'!$B$5,1,0)</f>
        <v/>
      </c>
      <c r="BJ6" s="38">
        <f>IF('СРОКИ'!BJ10&lt;='CF_Аренда'!$B$5,1,0)</f>
        <v/>
      </c>
      <c r="BK6" s="38">
        <f>IF('СРОКИ'!BK10&lt;='CF_Аренда'!$B$5,1,0)</f>
        <v/>
      </c>
      <c r="BL6" s="38">
        <f>IF('СРОКИ'!BL10&lt;='CF_Аренда'!$B$5,1,0)</f>
        <v/>
      </c>
      <c r="BM6" s="38">
        <f>IF('СРОКИ'!BM10&lt;='CF_Аренда'!$B$5,1,0)</f>
        <v/>
      </c>
      <c r="BN6" s="38">
        <f>IF('СРОКИ'!BN10&lt;='CF_Аренда'!$B$5,1,0)</f>
        <v/>
      </c>
      <c r="BO6" s="38">
        <f>IF('СРОКИ'!BO10&lt;='CF_Аренда'!$B$5,1,0)</f>
        <v/>
      </c>
      <c r="BP6" s="38">
        <f>IF('СРОКИ'!BP10&lt;='CF_Аренда'!$B$5,1,0)</f>
        <v/>
      </c>
      <c r="BQ6" s="38">
        <f>IF('СРОКИ'!BQ10&lt;='CF_Аренда'!$B$5,1,0)</f>
        <v/>
      </c>
      <c r="BR6" s="38">
        <f>IF('СРОКИ'!BR10&lt;='CF_Аренда'!$B$5,1,0)</f>
        <v/>
      </c>
      <c r="BS6" s="38">
        <f>IF('СРОКИ'!BS10&lt;='CF_Аренда'!$B$5,1,0)</f>
        <v/>
      </c>
      <c r="BT6" s="38">
        <f>IF('СРОКИ'!BT10&lt;='CF_Аренда'!$B$5,1,0)</f>
        <v/>
      </c>
      <c r="BU6" s="38">
        <f>IF('СРОКИ'!BU10&lt;='CF_Аренда'!$B$5,1,0)</f>
        <v/>
      </c>
      <c r="BV6" s="38">
        <f>IF('СРОКИ'!BV10&lt;='CF_Аренда'!$B$5,1,0)</f>
        <v/>
      </c>
      <c r="BW6" s="38">
        <f>IF('СРОКИ'!BW10&lt;='CF_Аренда'!$B$5,1,0)</f>
        <v/>
      </c>
      <c r="BX6" s="38">
        <f>IF('СРОКИ'!BX10&lt;='CF_Аренда'!$B$5,1,0)</f>
        <v/>
      </c>
      <c r="BY6" s="38">
        <f>IF('СРОКИ'!BY10&lt;='CF_Аренда'!$B$5,1,0)</f>
        <v/>
      </c>
      <c r="BZ6" s="38">
        <f>IF('СРОКИ'!BZ10&lt;='CF_Аренда'!$B$5,1,0)</f>
        <v/>
      </c>
      <c r="CA6" s="38">
        <f>IF('СРОКИ'!CA10&lt;='CF_Аренда'!$B$5,1,0)</f>
        <v/>
      </c>
      <c r="CB6" s="38">
        <f>IF('СРОКИ'!CB10&lt;='CF_Аренда'!$B$5,1,0)</f>
        <v/>
      </c>
      <c r="CC6" s="38">
        <f>IF('СРОКИ'!CC10&lt;='CF_Аренда'!$B$5,1,0)</f>
        <v/>
      </c>
      <c r="CD6" s="38">
        <f>IF('СРОКИ'!CD10&lt;='CF_Аренда'!$B$5,1,0)</f>
        <v/>
      </c>
      <c r="CE6" s="38">
        <f>IF('СРОКИ'!CE10&lt;='CF_Аренда'!$B$5,1,0)</f>
        <v/>
      </c>
      <c r="CF6" s="38">
        <f>IF('СРОКИ'!CF10&lt;='CF_Аренда'!$B$5,1,0)</f>
        <v/>
      </c>
      <c r="CG6" s="38">
        <f>IF('СРОКИ'!CG10&lt;='CF_Аренда'!$B$5,1,0)</f>
        <v/>
      </c>
      <c r="CH6" s="38">
        <f>IF('СРОКИ'!CH10&lt;='CF_Аренда'!$B$5,1,0)</f>
        <v/>
      </c>
      <c r="CI6" s="38">
        <f>IF('СРОКИ'!CI10&lt;='CF_Аренда'!$B$5,1,0)</f>
        <v/>
      </c>
      <c r="CJ6" s="38">
        <f>IF('СРОКИ'!CJ10&lt;='CF_Аренда'!$B$5,1,0)</f>
        <v/>
      </c>
      <c r="CK6" s="38">
        <f>IF('СРОКИ'!CK10&lt;='CF_Аренда'!$B$5,1,0)</f>
        <v/>
      </c>
      <c r="CL6" s="38">
        <f>IF('СРОКИ'!CL10&lt;='CF_Аренда'!$B$5,1,0)</f>
        <v/>
      </c>
      <c r="CM6" s="38">
        <f>IF('СРОКИ'!CM10&lt;='CF_Аренда'!$B$5,1,0)</f>
        <v/>
      </c>
      <c r="CN6" s="38">
        <f>IF('СРОКИ'!CN10&lt;='CF_Аренда'!$B$5,1,0)</f>
        <v/>
      </c>
      <c r="CO6" s="38">
        <f>IF('СРОКИ'!CO10&lt;='CF_Аренда'!$B$5,1,0)</f>
        <v/>
      </c>
      <c r="CP6" s="38">
        <f>IF('СРОКИ'!CP10&lt;='CF_Аренда'!$B$5,1,0)</f>
        <v/>
      </c>
      <c r="CQ6" s="38">
        <f>IF('СРОКИ'!CQ10&lt;='CF_Аренда'!$B$5,1,0)</f>
        <v/>
      </c>
      <c r="CR6" s="38">
        <f>IF('СРОКИ'!CR10&lt;='CF_Аренда'!$B$5,1,0)</f>
        <v/>
      </c>
      <c r="CS6" s="38">
        <f>IF('СРОКИ'!CS10&lt;='CF_Аренда'!$B$5,1,0)</f>
        <v/>
      </c>
      <c r="CT6" s="38">
        <f>IF('СРОКИ'!CT10&lt;='CF_Аренда'!$B$5,1,0)</f>
        <v/>
      </c>
      <c r="CU6" s="38">
        <f>IF('СРОКИ'!CU10&lt;='CF_Аренда'!$B$5,1,0)</f>
        <v/>
      </c>
      <c r="CV6" s="38">
        <f>IF('СРОКИ'!CV10&lt;='CF_Аренда'!$B$5,1,0)</f>
        <v/>
      </c>
      <c r="CW6" s="38">
        <f>IF('СРОКИ'!CW10&lt;='CF_Аренда'!$B$5,1,0)</f>
        <v/>
      </c>
      <c r="CX6" s="38">
        <f>IF('СРОКИ'!CX10&lt;='CF_Аренда'!$B$5,1,0)</f>
        <v/>
      </c>
      <c r="CY6" s="38">
        <f>IF('СРОКИ'!CY10&lt;='CF_Аренда'!$B$5,1,0)</f>
        <v/>
      </c>
      <c r="CZ6" s="38">
        <f>IF('СРОКИ'!CZ10&lt;='CF_Аренда'!$B$5,1,0)</f>
        <v/>
      </c>
      <c r="DA6" s="38">
        <f>IF('СРОКИ'!DA10&lt;='CF_Аренда'!$B$5,1,0)</f>
        <v/>
      </c>
      <c r="DB6" s="38">
        <f>IF('СРОКИ'!DB10&lt;='CF_Аренда'!$B$5,1,0)</f>
        <v/>
      </c>
      <c r="DC6" s="38">
        <f>IF('СРОКИ'!DC10&lt;='CF_Аренда'!$B$5,1,0)</f>
        <v/>
      </c>
      <c r="DD6" s="38">
        <f>IF('СРОКИ'!DD10&lt;='CF_Аренда'!$B$5,1,0)</f>
        <v/>
      </c>
      <c r="DE6" s="38">
        <f>IF('СРОКИ'!DE10&lt;='CF_Аренда'!$B$5,1,0)</f>
        <v/>
      </c>
      <c r="DF6" s="38">
        <f>IF('СРОКИ'!DF10&lt;='CF_Аренда'!$B$5,1,0)</f>
        <v/>
      </c>
      <c r="DG6" s="38">
        <f>IF('СРОКИ'!DG10&lt;='CF_Аренда'!$B$5,1,0)</f>
        <v/>
      </c>
      <c r="DH6" s="38">
        <f>IF('СРОКИ'!DH10&lt;='CF_Аренда'!$B$5,1,0)</f>
        <v/>
      </c>
      <c r="DI6" s="38">
        <f>IF('СРОКИ'!DI10&lt;='CF_Аренда'!$B$5,1,0)</f>
        <v/>
      </c>
      <c r="DJ6" s="38">
        <f>IF('СРОКИ'!DJ10&lt;='CF_Аренда'!$B$5,1,0)</f>
        <v/>
      </c>
      <c r="DK6" s="38">
        <f>IF('СРОКИ'!DK10&lt;='CF_Аренда'!$B$5,1,0)</f>
        <v/>
      </c>
      <c r="DL6" s="38">
        <f>IF('СРОКИ'!DL10&lt;='CF_Аренда'!$B$5,1,0)</f>
        <v/>
      </c>
      <c r="DM6" s="38">
        <f>IF('СРОКИ'!DM10&lt;='CF_Аренда'!$B$5,1,0)</f>
        <v/>
      </c>
    </row>
    <row r="7">
      <c r="A7" s="42" t="inlineStr">
        <is>
          <t>Выручка пути</t>
        </is>
      </c>
      <c r="B7" s="40">
        <f>SUM(D7:DM7)</f>
        <v/>
      </c>
      <c r="C7" s="37" t="inlineStr">
        <is>
          <t>млн ₽</t>
        </is>
      </c>
      <c r="D7" s="40">
        <f>('Аренда'!D8+'Аренда'!D13)*'CF_Аренда'!D6</f>
        <v/>
      </c>
      <c r="E7" s="40">
        <f>('Аренда'!E8+'Аренда'!E13)*'CF_Аренда'!E6</f>
        <v/>
      </c>
      <c r="F7" s="40">
        <f>('Аренда'!F8+'Аренда'!F13)*'CF_Аренда'!F6</f>
        <v/>
      </c>
      <c r="G7" s="40">
        <f>('Аренда'!G8+'Аренда'!G13)*'CF_Аренда'!G6</f>
        <v/>
      </c>
      <c r="H7" s="40">
        <f>('Аренда'!H8+'Аренда'!H13)*'CF_Аренда'!H6</f>
        <v/>
      </c>
      <c r="I7" s="40">
        <f>('Аренда'!I8+'Аренда'!I13)*'CF_Аренда'!I6</f>
        <v/>
      </c>
      <c r="J7" s="40">
        <f>('Аренда'!J8+'Аренда'!J13)*'CF_Аренда'!J6</f>
        <v/>
      </c>
      <c r="K7" s="40">
        <f>('Аренда'!K8+'Аренда'!K13)*'CF_Аренда'!K6</f>
        <v/>
      </c>
      <c r="L7" s="40">
        <f>('Аренда'!L8+'Аренда'!L13)*'CF_Аренда'!L6</f>
        <v/>
      </c>
      <c r="M7" s="40">
        <f>('Аренда'!M8+'Аренда'!M13)*'CF_Аренда'!M6</f>
        <v/>
      </c>
      <c r="N7" s="40">
        <f>('Аренда'!N8+'Аренда'!N13)*'CF_Аренда'!N6</f>
        <v/>
      </c>
      <c r="O7" s="40">
        <f>('Аренда'!O8+'Аренда'!O13)*'CF_Аренда'!O6</f>
        <v/>
      </c>
      <c r="P7" s="40">
        <f>('Аренда'!P8+'Аренда'!P13)*'CF_Аренда'!P6</f>
        <v/>
      </c>
      <c r="Q7" s="40">
        <f>('Аренда'!Q8+'Аренда'!Q13)*'CF_Аренда'!Q6</f>
        <v/>
      </c>
      <c r="R7" s="40">
        <f>('Аренда'!R8+'Аренда'!R13)*'CF_Аренда'!R6</f>
        <v/>
      </c>
      <c r="S7" s="40">
        <f>('Аренда'!S8+'Аренда'!S13)*'CF_Аренда'!S6</f>
        <v/>
      </c>
      <c r="T7" s="40">
        <f>('Аренда'!T8+'Аренда'!T13)*'CF_Аренда'!T6</f>
        <v/>
      </c>
      <c r="U7" s="40">
        <f>('Аренда'!U8+'Аренда'!U13)*'CF_Аренда'!U6</f>
        <v/>
      </c>
      <c r="V7" s="40">
        <f>('Аренда'!V8+'Аренда'!V13)*'CF_Аренда'!V6</f>
        <v/>
      </c>
      <c r="W7" s="40">
        <f>('Аренда'!W8+'Аренда'!W13)*'CF_Аренда'!W6</f>
        <v/>
      </c>
      <c r="X7" s="40">
        <f>('Аренда'!X8+'Аренда'!X13)*'CF_Аренда'!X6</f>
        <v/>
      </c>
      <c r="Y7" s="40">
        <f>('Аренда'!Y8+'Аренда'!Y13)*'CF_Аренда'!Y6</f>
        <v/>
      </c>
      <c r="Z7" s="40">
        <f>('Аренда'!Z8+'Аренда'!Z13)*'CF_Аренда'!Z6</f>
        <v/>
      </c>
      <c r="AA7" s="40">
        <f>('Аренда'!AA8+'Аренда'!AA13)*'CF_Аренда'!AA6</f>
        <v/>
      </c>
      <c r="AB7" s="40">
        <f>('Аренда'!AB8+'Аренда'!AB13)*'CF_Аренда'!AB6</f>
        <v/>
      </c>
      <c r="AC7" s="40">
        <f>('Аренда'!AC8+'Аренда'!AC13)*'CF_Аренда'!AC6</f>
        <v/>
      </c>
      <c r="AD7" s="40">
        <f>('Аренда'!AD8+'Аренда'!AD13)*'CF_Аренда'!AD6</f>
        <v/>
      </c>
      <c r="AE7" s="40">
        <f>('Аренда'!AE8+'Аренда'!AE13)*'CF_Аренда'!AE6</f>
        <v/>
      </c>
      <c r="AF7" s="40">
        <f>('Аренда'!AF8+'Аренда'!AF13)*'CF_Аренда'!AF6</f>
        <v/>
      </c>
      <c r="AG7" s="40">
        <f>('Аренда'!AG8+'Аренда'!AG13)*'CF_Аренда'!AG6</f>
        <v/>
      </c>
      <c r="AH7" s="40">
        <f>('Аренда'!AH8+'Аренда'!AH13)*'CF_Аренда'!AH6</f>
        <v/>
      </c>
      <c r="AI7" s="40">
        <f>('Аренда'!AI8+'Аренда'!AI13)*'CF_Аренда'!AI6</f>
        <v/>
      </c>
      <c r="AJ7" s="40">
        <f>('Аренда'!AJ8+'Аренда'!AJ13)*'CF_Аренда'!AJ6</f>
        <v/>
      </c>
      <c r="AK7" s="40">
        <f>('Аренда'!AK8+'Аренда'!AK13)*'CF_Аренда'!AK6</f>
        <v/>
      </c>
      <c r="AL7" s="40">
        <f>('Аренда'!AL8+'Аренда'!AL13)*'CF_Аренда'!AL6</f>
        <v/>
      </c>
      <c r="AM7" s="40">
        <f>('Аренда'!AM8+'Аренда'!AM13)*'CF_Аренда'!AM6</f>
        <v/>
      </c>
      <c r="AN7" s="40">
        <f>('Аренда'!AN8+'Аренда'!AN13)*'CF_Аренда'!AN6</f>
        <v/>
      </c>
      <c r="AO7" s="40">
        <f>('Аренда'!AO8+'Аренда'!AO13)*'CF_Аренда'!AO6</f>
        <v/>
      </c>
      <c r="AP7" s="40">
        <f>('Аренда'!AP8+'Аренда'!AP13)*'CF_Аренда'!AP6</f>
        <v/>
      </c>
      <c r="AQ7" s="40">
        <f>('Аренда'!AQ8+'Аренда'!AQ13)*'CF_Аренда'!AQ6</f>
        <v/>
      </c>
      <c r="AR7" s="40">
        <f>('Аренда'!AR8+'Аренда'!AR13)*'CF_Аренда'!AR6</f>
        <v/>
      </c>
      <c r="AS7" s="40">
        <f>('Аренда'!AS8+'Аренда'!AS13)*'CF_Аренда'!AS6</f>
        <v/>
      </c>
      <c r="AT7" s="40">
        <f>('Аренда'!AT8+'Аренда'!AT13)*'CF_Аренда'!AT6</f>
        <v/>
      </c>
      <c r="AU7" s="40">
        <f>('Аренда'!AU8+'Аренда'!AU13)*'CF_Аренда'!AU6</f>
        <v/>
      </c>
      <c r="AV7" s="40">
        <f>('Аренда'!AV8+'Аренда'!AV13)*'CF_Аренда'!AV6</f>
        <v/>
      </c>
      <c r="AW7" s="40">
        <f>('Аренда'!AW8+'Аренда'!AW13)*'CF_Аренда'!AW6</f>
        <v/>
      </c>
      <c r="AX7" s="40">
        <f>('Аренда'!AX8+'Аренда'!AX13)*'CF_Аренда'!AX6</f>
        <v/>
      </c>
      <c r="AY7" s="40">
        <f>('Аренда'!AY8+'Аренда'!AY13)*'CF_Аренда'!AY6</f>
        <v/>
      </c>
      <c r="AZ7" s="40">
        <f>('Аренда'!AZ8+'Аренда'!AZ13)*'CF_Аренда'!AZ6</f>
        <v/>
      </c>
      <c r="BA7" s="40">
        <f>('Аренда'!BA8+'Аренда'!BA13)*'CF_Аренда'!BA6</f>
        <v/>
      </c>
      <c r="BB7" s="40">
        <f>('Аренда'!BB8+'Аренда'!BB13)*'CF_Аренда'!BB6</f>
        <v/>
      </c>
      <c r="BC7" s="40">
        <f>('Аренда'!BC8+'Аренда'!BC13)*'CF_Аренда'!BC6</f>
        <v/>
      </c>
      <c r="BD7" s="40">
        <f>('Аренда'!BD8+'Аренда'!BD13)*'CF_Аренда'!BD6</f>
        <v/>
      </c>
      <c r="BE7" s="40">
        <f>('Аренда'!BE8+'Аренда'!BE13)*'CF_Аренда'!BE6</f>
        <v/>
      </c>
      <c r="BF7" s="40">
        <f>('Аренда'!BF8+'Аренда'!BF13)*'CF_Аренда'!BF6</f>
        <v/>
      </c>
      <c r="BG7" s="40">
        <f>('Аренда'!BG8+'Аренда'!BG13)*'CF_Аренда'!BG6</f>
        <v/>
      </c>
      <c r="BH7" s="40">
        <f>('Аренда'!BH8+'Аренда'!BH13)*'CF_Аренда'!BH6</f>
        <v/>
      </c>
      <c r="BI7" s="40">
        <f>('Аренда'!BI8+'Аренда'!BI13)*'CF_Аренда'!BI6</f>
        <v/>
      </c>
      <c r="BJ7" s="40">
        <f>('Аренда'!BJ8+'Аренда'!BJ13)*'CF_Аренда'!BJ6</f>
        <v/>
      </c>
      <c r="BK7" s="40">
        <f>('Аренда'!BK8+'Аренда'!BK13)*'CF_Аренда'!BK6</f>
        <v/>
      </c>
      <c r="BL7" s="40">
        <f>('Аренда'!BL8+'Аренда'!BL13)*'CF_Аренда'!BL6</f>
        <v/>
      </c>
      <c r="BM7" s="40">
        <f>('Аренда'!BM8+'Аренда'!BM13)*'CF_Аренда'!BM6</f>
        <v/>
      </c>
      <c r="BN7" s="40">
        <f>('Аренда'!BN8+'Аренда'!BN13)*'CF_Аренда'!BN6</f>
        <v/>
      </c>
      <c r="BO7" s="40">
        <f>('Аренда'!BO8+'Аренда'!BO13)*'CF_Аренда'!BO6</f>
        <v/>
      </c>
      <c r="BP7" s="40">
        <f>('Аренда'!BP8+'Аренда'!BP13)*'CF_Аренда'!BP6</f>
        <v/>
      </c>
      <c r="BQ7" s="40">
        <f>('Аренда'!BQ8+'Аренда'!BQ13)*'CF_Аренда'!BQ6</f>
        <v/>
      </c>
      <c r="BR7" s="40">
        <f>('Аренда'!BR8+'Аренда'!BR13)*'CF_Аренда'!BR6</f>
        <v/>
      </c>
      <c r="BS7" s="40">
        <f>('Аренда'!BS8+'Аренда'!BS13)*'CF_Аренда'!BS6</f>
        <v/>
      </c>
      <c r="BT7" s="40">
        <f>('Аренда'!BT8+'Аренда'!BT13)*'CF_Аренда'!BT6</f>
        <v/>
      </c>
      <c r="BU7" s="40">
        <f>('Аренда'!BU8+'Аренда'!BU13)*'CF_Аренда'!BU6</f>
        <v/>
      </c>
      <c r="BV7" s="40">
        <f>('Аренда'!BV8+'Аренда'!BV13)*'CF_Аренда'!BV6</f>
        <v/>
      </c>
      <c r="BW7" s="40">
        <f>('Аренда'!BW8+'Аренда'!BW13)*'CF_Аренда'!BW6</f>
        <v/>
      </c>
      <c r="BX7" s="40">
        <f>('Аренда'!BX8+'Аренда'!BX13)*'CF_Аренда'!BX6</f>
        <v/>
      </c>
      <c r="BY7" s="40">
        <f>('Аренда'!BY8+'Аренда'!BY13)*'CF_Аренда'!BY6</f>
        <v/>
      </c>
      <c r="BZ7" s="40">
        <f>('Аренда'!BZ8+'Аренда'!BZ13)*'CF_Аренда'!BZ6</f>
        <v/>
      </c>
      <c r="CA7" s="40">
        <f>('Аренда'!CA8+'Аренда'!CA13)*'CF_Аренда'!CA6</f>
        <v/>
      </c>
      <c r="CB7" s="40">
        <f>('Аренда'!CB8+'Аренда'!CB13)*'CF_Аренда'!CB6</f>
        <v/>
      </c>
      <c r="CC7" s="40">
        <f>('Аренда'!CC8+'Аренда'!CC13)*'CF_Аренда'!CC6</f>
        <v/>
      </c>
      <c r="CD7" s="40">
        <f>('Аренда'!CD8+'Аренда'!CD13)*'CF_Аренда'!CD6</f>
        <v/>
      </c>
      <c r="CE7" s="40">
        <f>('Аренда'!CE8+'Аренда'!CE13)*'CF_Аренда'!CE6</f>
        <v/>
      </c>
      <c r="CF7" s="40">
        <f>('Аренда'!CF8+'Аренда'!CF13)*'CF_Аренда'!CF6</f>
        <v/>
      </c>
      <c r="CG7" s="40">
        <f>('Аренда'!CG8+'Аренда'!CG13)*'CF_Аренда'!CG6</f>
        <v/>
      </c>
      <c r="CH7" s="40">
        <f>('Аренда'!CH8+'Аренда'!CH13)*'CF_Аренда'!CH6</f>
        <v/>
      </c>
      <c r="CI7" s="40">
        <f>('Аренда'!CI8+'Аренда'!CI13)*'CF_Аренда'!CI6</f>
        <v/>
      </c>
      <c r="CJ7" s="40">
        <f>('Аренда'!CJ8+'Аренда'!CJ13)*'CF_Аренда'!CJ6</f>
        <v/>
      </c>
      <c r="CK7" s="40">
        <f>('Аренда'!CK8+'Аренда'!CK13)*'CF_Аренда'!CK6</f>
        <v/>
      </c>
      <c r="CL7" s="40">
        <f>('Аренда'!CL8+'Аренда'!CL13)*'CF_Аренда'!CL6</f>
        <v/>
      </c>
      <c r="CM7" s="40">
        <f>('Аренда'!CM8+'Аренда'!CM13)*'CF_Аренда'!CM6</f>
        <v/>
      </c>
      <c r="CN7" s="40">
        <f>('Аренда'!CN8+'Аренда'!CN13)*'CF_Аренда'!CN6</f>
        <v/>
      </c>
      <c r="CO7" s="40">
        <f>('Аренда'!CO8+'Аренда'!CO13)*'CF_Аренда'!CO6</f>
        <v/>
      </c>
      <c r="CP7" s="40">
        <f>('Аренда'!CP8+'Аренда'!CP13)*'CF_Аренда'!CP6</f>
        <v/>
      </c>
      <c r="CQ7" s="40">
        <f>('Аренда'!CQ8+'Аренда'!CQ13)*'CF_Аренда'!CQ6</f>
        <v/>
      </c>
      <c r="CR7" s="40">
        <f>('Аренда'!CR8+'Аренда'!CR13)*'CF_Аренда'!CR6</f>
        <v/>
      </c>
      <c r="CS7" s="40">
        <f>('Аренда'!CS8+'Аренда'!CS13)*'CF_Аренда'!CS6</f>
        <v/>
      </c>
      <c r="CT7" s="40">
        <f>('Аренда'!CT8+'Аренда'!CT13)*'CF_Аренда'!CT6</f>
        <v/>
      </c>
      <c r="CU7" s="40">
        <f>('Аренда'!CU8+'Аренда'!CU13)*'CF_Аренда'!CU6</f>
        <v/>
      </c>
      <c r="CV7" s="40">
        <f>('Аренда'!CV8+'Аренда'!CV13)*'CF_Аренда'!CV6</f>
        <v/>
      </c>
      <c r="CW7" s="40">
        <f>('Аренда'!CW8+'Аренда'!CW13)*'CF_Аренда'!CW6</f>
        <v/>
      </c>
      <c r="CX7" s="40">
        <f>('Аренда'!CX8+'Аренда'!CX13)*'CF_Аренда'!CX6</f>
        <v/>
      </c>
      <c r="CY7" s="40">
        <f>('Аренда'!CY8+'Аренда'!CY13)*'CF_Аренда'!CY6</f>
        <v/>
      </c>
      <c r="CZ7" s="40">
        <f>('Аренда'!CZ8+'Аренда'!CZ13)*'CF_Аренда'!CZ6</f>
        <v/>
      </c>
      <c r="DA7" s="40">
        <f>('Аренда'!DA8+'Аренда'!DA13)*'CF_Аренда'!DA6</f>
        <v/>
      </c>
      <c r="DB7" s="40">
        <f>('Аренда'!DB8+'Аренда'!DB13)*'CF_Аренда'!DB6</f>
        <v/>
      </c>
      <c r="DC7" s="40">
        <f>('Аренда'!DC8+'Аренда'!DC13)*'CF_Аренда'!DC6</f>
        <v/>
      </c>
      <c r="DD7" s="40">
        <f>('Аренда'!DD8+'Аренда'!DD13)*'CF_Аренда'!DD6</f>
        <v/>
      </c>
      <c r="DE7" s="40">
        <f>('Аренда'!DE8+'Аренда'!DE13)*'CF_Аренда'!DE6</f>
        <v/>
      </c>
      <c r="DF7" s="40">
        <f>('Аренда'!DF8+'Аренда'!DF13)*'CF_Аренда'!DF6</f>
        <v/>
      </c>
      <c r="DG7" s="40">
        <f>('Аренда'!DG8+'Аренда'!DG13)*'CF_Аренда'!DG6</f>
        <v/>
      </c>
      <c r="DH7" s="40">
        <f>('Аренда'!DH8+'Аренда'!DH13)*'CF_Аренда'!DH6</f>
        <v/>
      </c>
      <c r="DI7" s="40">
        <f>('Аренда'!DI8+'Аренда'!DI13)*'CF_Аренда'!DI6</f>
        <v/>
      </c>
      <c r="DJ7" s="40">
        <f>('Аренда'!DJ8+'Аренда'!DJ13)*'CF_Аренда'!DJ6</f>
        <v/>
      </c>
      <c r="DK7" s="40">
        <f>('Аренда'!DK8+'Аренда'!DK13)*'CF_Аренда'!DK6</f>
        <v/>
      </c>
      <c r="DL7" s="40">
        <f>('Аренда'!DL8+'Аренда'!DL13)*'CF_Аренда'!DL6</f>
        <v/>
      </c>
      <c r="DM7" s="40">
        <f>('Аренда'!DM8+'Аренда'!DM13)*'CF_Аренда'!DM6</f>
        <v/>
      </c>
    </row>
    <row r="8">
      <c r="A8" s="36" t="inlineStr">
        <is>
          <t>Расходы продаж и эксплуатации</t>
        </is>
      </c>
      <c r="B8" s="40">
        <f>SUM(D8:DM8)</f>
        <v/>
      </c>
      <c r="C8" s="37" t="inlineStr">
        <is>
          <t>млн ₽</t>
        </is>
      </c>
      <c r="D8" s="47">
        <f>('Аренда'!D9+'Аренда'!D10+'Аренда'!D14)*'CF_Аренда'!D6</f>
        <v/>
      </c>
      <c r="E8" s="47">
        <f>('Аренда'!E9+'Аренда'!E10+'Аренда'!E14)*'CF_Аренда'!E6</f>
        <v/>
      </c>
      <c r="F8" s="47">
        <f>('Аренда'!F9+'Аренда'!F10+'Аренда'!F14)*'CF_Аренда'!F6</f>
        <v/>
      </c>
      <c r="G8" s="47">
        <f>('Аренда'!G9+'Аренда'!G10+'Аренда'!G14)*'CF_Аренда'!G6</f>
        <v/>
      </c>
      <c r="H8" s="47">
        <f>('Аренда'!H9+'Аренда'!H10+'Аренда'!H14)*'CF_Аренда'!H6</f>
        <v/>
      </c>
      <c r="I8" s="47">
        <f>('Аренда'!I9+'Аренда'!I10+'Аренда'!I14)*'CF_Аренда'!I6</f>
        <v/>
      </c>
      <c r="J8" s="47">
        <f>('Аренда'!J9+'Аренда'!J10+'Аренда'!J14)*'CF_Аренда'!J6</f>
        <v/>
      </c>
      <c r="K8" s="47">
        <f>('Аренда'!K9+'Аренда'!K10+'Аренда'!K14)*'CF_Аренда'!K6</f>
        <v/>
      </c>
      <c r="L8" s="47">
        <f>('Аренда'!L9+'Аренда'!L10+'Аренда'!L14)*'CF_Аренда'!L6</f>
        <v/>
      </c>
      <c r="M8" s="47">
        <f>('Аренда'!M9+'Аренда'!M10+'Аренда'!M14)*'CF_Аренда'!M6</f>
        <v/>
      </c>
      <c r="N8" s="47">
        <f>('Аренда'!N9+'Аренда'!N10+'Аренда'!N14)*'CF_Аренда'!N6</f>
        <v/>
      </c>
      <c r="O8" s="47">
        <f>('Аренда'!O9+'Аренда'!O10+'Аренда'!O14)*'CF_Аренда'!O6</f>
        <v/>
      </c>
      <c r="P8" s="47">
        <f>('Аренда'!P9+'Аренда'!P10+'Аренда'!P14)*'CF_Аренда'!P6</f>
        <v/>
      </c>
      <c r="Q8" s="47">
        <f>('Аренда'!Q9+'Аренда'!Q10+'Аренда'!Q14)*'CF_Аренда'!Q6</f>
        <v/>
      </c>
      <c r="R8" s="47">
        <f>('Аренда'!R9+'Аренда'!R10+'Аренда'!R14)*'CF_Аренда'!R6</f>
        <v/>
      </c>
      <c r="S8" s="47">
        <f>('Аренда'!S9+'Аренда'!S10+'Аренда'!S14)*'CF_Аренда'!S6</f>
        <v/>
      </c>
      <c r="T8" s="47">
        <f>('Аренда'!T9+'Аренда'!T10+'Аренда'!T14)*'CF_Аренда'!T6</f>
        <v/>
      </c>
      <c r="U8" s="47">
        <f>('Аренда'!U9+'Аренда'!U10+'Аренда'!U14)*'CF_Аренда'!U6</f>
        <v/>
      </c>
      <c r="V8" s="47">
        <f>('Аренда'!V9+'Аренда'!V10+'Аренда'!V14)*'CF_Аренда'!V6</f>
        <v/>
      </c>
      <c r="W8" s="47">
        <f>('Аренда'!W9+'Аренда'!W10+'Аренда'!W14)*'CF_Аренда'!W6</f>
        <v/>
      </c>
      <c r="X8" s="47">
        <f>('Аренда'!X9+'Аренда'!X10+'Аренда'!X14)*'CF_Аренда'!X6</f>
        <v/>
      </c>
      <c r="Y8" s="47">
        <f>('Аренда'!Y9+'Аренда'!Y10+'Аренда'!Y14)*'CF_Аренда'!Y6</f>
        <v/>
      </c>
      <c r="Z8" s="47">
        <f>('Аренда'!Z9+'Аренда'!Z10+'Аренда'!Z14)*'CF_Аренда'!Z6</f>
        <v/>
      </c>
      <c r="AA8" s="47">
        <f>('Аренда'!AA9+'Аренда'!AA10+'Аренда'!AA14)*'CF_Аренда'!AA6</f>
        <v/>
      </c>
      <c r="AB8" s="47">
        <f>('Аренда'!AB9+'Аренда'!AB10+'Аренда'!AB14)*'CF_Аренда'!AB6</f>
        <v/>
      </c>
      <c r="AC8" s="47">
        <f>('Аренда'!AC9+'Аренда'!AC10+'Аренда'!AC14)*'CF_Аренда'!AC6</f>
        <v/>
      </c>
      <c r="AD8" s="47">
        <f>('Аренда'!AD9+'Аренда'!AD10+'Аренда'!AD14)*'CF_Аренда'!AD6</f>
        <v/>
      </c>
      <c r="AE8" s="47">
        <f>('Аренда'!AE9+'Аренда'!AE10+'Аренда'!AE14)*'CF_Аренда'!AE6</f>
        <v/>
      </c>
      <c r="AF8" s="47">
        <f>('Аренда'!AF9+'Аренда'!AF10+'Аренда'!AF14)*'CF_Аренда'!AF6</f>
        <v/>
      </c>
      <c r="AG8" s="47">
        <f>('Аренда'!AG9+'Аренда'!AG10+'Аренда'!AG14)*'CF_Аренда'!AG6</f>
        <v/>
      </c>
      <c r="AH8" s="47">
        <f>('Аренда'!AH9+'Аренда'!AH10+'Аренда'!AH14)*'CF_Аренда'!AH6</f>
        <v/>
      </c>
      <c r="AI8" s="47">
        <f>('Аренда'!AI9+'Аренда'!AI10+'Аренда'!AI14)*'CF_Аренда'!AI6</f>
        <v/>
      </c>
      <c r="AJ8" s="47">
        <f>('Аренда'!AJ9+'Аренда'!AJ10+'Аренда'!AJ14)*'CF_Аренда'!AJ6</f>
        <v/>
      </c>
      <c r="AK8" s="47">
        <f>('Аренда'!AK9+'Аренда'!AK10+'Аренда'!AK14)*'CF_Аренда'!AK6</f>
        <v/>
      </c>
      <c r="AL8" s="47">
        <f>('Аренда'!AL9+'Аренда'!AL10+'Аренда'!AL14)*'CF_Аренда'!AL6</f>
        <v/>
      </c>
      <c r="AM8" s="47">
        <f>('Аренда'!AM9+'Аренда'!AM10+'Аренда'!AM14)*'CF_Аренда'!AM6</f>
        <v/>
      </c>
      <c r="AN8" s="47">
        <f>('Аренда'!AN9+'Аренда'!AN10+'Аренда'!AN14)*'CF_Аренда'!AN6</f>
        <v/>
      </c>
      <c r="AO8" s="47">
        <f>('Аренда'!AO9+'Аренда'!AO10+'Аренда'!AO14)*'CF_Аренда'!AO6</f>
        <v/>
      </c>
      <c r="AP8" s="47">
        <f>('Аренда'!AP9+'Аренда'!AP10+'Аренда'!AP14)*'CF_Аренда'!AP6</f>
        <v/>
      </c>
      <c r="AQ8" s="47">
        <f>('Аренда'!AQ9+'Аренда'!AQ10+'Аренда'!AQ14)*'CF_Аренда'!AQ6</f>
        <v/>
      </c>
      <c r="AR8" s="47">
        <f>('Аренда'!AR9+'Аренда'!AR10+'Аренда'!AR14)*'CF_Аренда'!AR6</f>
        <v/>
      </c>
      <c r="AS8" s="47">
        <f>('Аренда'!AS9+'Аренда'!AS10+'Аренда'!AS14)*'CF_Аренда'!AS6</f>
        <v/>
      </c>
      <c r="AT8" s="47">
        <f>('Аренда'!AT9+'Аренда'!AT10+'Аренда'!AT14)*'CF_Аренда'!AT6</f>
        <v/>
      </c>
      <c r="AU8" s="47">
        <f>('Аренда'!AU9+'Аренда'!AU10+'Аренда'!AU14)*'CF_Аренда'!AU6</f>
        <v/>
      </c>
      <c r="AV8" s="47">
        <f>('Аренда'!AV9+'Аренда'!AV10+'Аренда'!AV14)*'CF_Аренда'!AV6</f>
        <v/>
      </c>
      <c r="AW8" s="47">
        <f>('Аренда'!AW9+'Аренда'!AW10+'Аренда'!AW14)*'CF_Аренда'!AW6</f>
        <v/>
      </c>
      <c r="AX8" s="47">
        <f>('Аренда'!AX9+'Аренда'!AX10+'Аренда'!AX14)*'CF_Аренда'!AX6</f>
        <v/>
      </c>
      <c r="AY8" s="47">
        <f>('Аренда'!AY9+'Аренда'!AY10+'Аренда'!AY14)*'CF_Аренда'!AY6</f>
        <v/>
      </c>
      <c r="AZ8" s="47">
        <f>('Аренда'!AZ9+'Аренда'!AZ10+'Аренда'!AZ14)*'CF_Аренда'!AZ6</f>
        <v/>
      </c>
      <c r="BA8" s="47">
        <f>('Аренда'!BA9+'Аренда'!BA10+'Аренда'!BA14)*'CF_Аренда'!BA6</f>
        <v/>
      </c>
      <c r="BB8" s="47">
        <f>('Аренда'!BB9+'Аренда'!BB10+'Аренда'!BB14)*'CF_Аренда'!BB6</f>
        <v/>
      </c>
      <c r="BC8" s="47">
        <f>('Аренда'!BC9+'Аренда'!BC10+'Аренда'!BC14)*'CF_Аренда'!BC6</f>
        <v/>
      </c>
      <c r="BD8" s="47">
        <f>('Аренда'!BD9+'Аренда'!BD10+'Аренда'!BD14)*'CF_Аренда'!BD6</f>
        <v/>
      </c>
      <c r="BE8" s="47">
        <f>('Аренда'!BE9+'Аренда'!BE10+'Аренда'!BE14)*'CF_Аренда'!BE6</f>
        <v/>
      </c>
      <c r="BF8" s="47">
        <f>('Аренда'!BF9+'Аренда'!BF10+'Аренда'!BF14)*'CF_Аренда'!BF6</f>
        <v/>
      </c>
      <c r="BG8" s="47">
        <f>('Аренда'!BG9+'Аренда'!BG10+'Аренда'!BG14)*'CF_Аренда'!BG6</f>
        <v/>
      </c>
      <c r="BH8" s="47">
        <f>('Аренда'!BH9+'Аренда'!BH10+'Аренда'!BH14)*'CF_Аренда'!BH6</f>
        <v/>
      </c>
      <c r="BI8" s="47">
        <f>('Аренда'!BI9+'Аренда'!BI10+'Аренда'!BI14)*'CF_Аренда'!BI6</f>
        <v/>
      </c>
      <c r="BJ8" s="47">
        <f>('Аренда'!BJ9+'Аренда'!BJ10+'Аренда'!BJ14)*'CF_Аренда'!BJ6</f>
        <v/>
      </c>
      <c r="BK8" s="47">
        <f>('Аренда'!BK9+'Аренда'!BK10+'Аренда'!BK14)*'CF_Аренда'!BK6</f>
        <v/>
      </c>
      <c r="BL8" s="47">
        <f>('Аренда'!BL9+'Аренда'!BL10+'Аренда'!BL14)*'CF_Аренда'!BL6</f>
        <v/>
      </c>
      <c r="BM8" s="47">
        <f>('Аренда'!BM9+'Аренда'!BM10+'Аренда'!BM14)*'CF_Аренда'!BM6</f>
        <v/>
      </c>
      <c r="BN8" s="47">
        <f>('Аренда'!BN9+'Аренда'!BN10+'Аренда'!BN14)*'CF_Аренда'!BN6</f>
        <v/>
      </c>
      <c r="BO8" s="47">
        <f>('Аренда'!BO9+'Аренда'!BO10+'Аренда'!BO14)*'CF_Аренда'!BO6</f>
        <v/>
      </c>
      <c r="BP8" s="47">
        <f>('Аренда'!BP9+'Аренда'!BP10+'Аренда'!BP14)*'CF_Аренда'!BP6</f>
        <v/>
      </c>
      <c r="BQ8" s="47">
        <f>('Аренда'!BQ9+'Аренда'!BQ10+'Аренда'!BQ14)*'CF_Аренда'!BQ6</f>
        <v/>
      </c>
      <c r="BR8" s="47">
        <f>('Аренда'!BR9+'Аренда'!BR10+'Аренда'!BR14)*'CF_Аренда'!BR6</f>
        <v/>
      </c>
      <c r="BS8" s="47">
        <f>('Аренда'!BS9+'Аренда'!BS10+'Аренда'!BS14)*'CF_Аренда'!BS6</f>
        <v/>
      </c>
      <c r="BT8" s="47">
        <f>('Аренда'!BT9+'Аренда'!BT10+'Аренда'!BT14)*'CF_Аренда'!BT6</f>
        <v/>
      </c>
      <c r="BU8" s="47">
        <f>('Аренда'!BU9+'Аренда'!BU10+'Аренда'!BU14)*'CF_Аренда'!BU6</f>
        <v/>
      </c>
      <c r="BV8" s="47">
        <f>('Аренда'!BV9+'Аренда'!BV10+'Аренда'!BV14)*'CF_Аренда'!BV6</f>
        <v/>
      </c>
      <c r="BW8" s="47">
        <f>('Аренда'!BW9+'Аренда'!BW10+'Аренда'!BW14)*'CF_Аренда'!BW6</f>
        <v/>
      </c>
      <c r="BX8" s="47">
        <f>('Аренда'!BX9+'Аренда'!BX10+'Аренда'!BX14)*'CF_Аренда'!BX6</f>
        <v/>
      </c>
      <c r="BY8" s="47">
        <f>('Аренда'!BY9+'Аренда'!BY10+'Аренда'!BY14)*'CF_Аренда'!BY6</f>
        <v/>
      </c>
      <c r="BZ8" s="47">
        <f>('Аренда'!BZ9+'Аренда'!BZ10+'Аренда'!BZ14)*'CF_Аренда'!BZ6</f>
        <v/>
      </c>
      <c r="CA8" s="47">
        <f>('Аренда'!CA9+'Аренда'!CA10+'Аренда'!CA14)*'CF_Аренда'!CA6</f>
        <v/>
      </c>
      <c r="CB8" s="47">
        <f>('Аренда'!CB9+'Аренда'!CB10+'Аренда'!CB14)*'CF_Аренда'!CB6</f>
        <v/>
      </c>
      <c r="CC8" s="47">
        <f>('Аренда'!CC9+'Аренда'!CC10+'Аренда'!CC14)*'CF_Аренда'!CC6</f>
        <v/>
      </c>
      <c r="CD8" s="47">
        <f>('Аренда'!CD9+'Аренда'!CD10+'Аренда'!CD14)*'CF_Аренда'!CD6</f>
        <v/>
      </c>
      <c r="CE8" s="47">
        <f>('Аренда'!CE9+'Аренда'!CE10+'Аренда'!CE14)*'CF_Аренда'!CE6</f>
        <v/>
      </c>
      <c r="CF8" s="47">
        <f>('Аренда'!CF9+'Аренда'!CF10+'Аренда'!CF14)*'CF_Аренда'!CF6</f>
        <v/>
      </c>
      <c r="CG8" s="47">
        <f>('Аренда'!CG9+'Аренда'!CG10+'Аренда'!CG14)*'CF_Аренда'!CG6</f>
        <v/>
      </c>
      <c r="CH8" s="47">
        <f>('Аренда'!CH9+'Аренда'!CH10+'Аренда'!CH14)*'CF_Аренда'!CH6</f>
        <v/>
      </c>
      <c r="CI8" s="47">
        <f>('Аренда'!CI9+'Аренда'!CI10+'Аренда'!CI14)*'CF_Аренда'!CI6</f>
        <v/>
      </c>
      <c r="CJ8" s="47">
        <f>('Аренда'!CJ9+'Аренда'!CJ10+'Аренда'!CJ14)*'CF_Аренда'!CJ6</f>
        <v/>
      </c>
      <c r="CK8" s="47">
        <f>('Аренда'!CK9+'Аренда'!CK10+'Аренда'!CK14)*'CF_Аренда'!CK6</f>
        <v/>
      </c>
      <c r="CL8" s="47">
        <f>('Аренда'!CL9+'Аренда'!CL10+'Аренда'!CL14)*'CF_Аренда'!CL6</f>
        <v/>
      </c>
      <c r="CM8" s="47">
        <f>('Аренда'!CM9+'Аренда'!CM10+'Аренда'!CM14)*'CF_Аренда'!CM6</f>
        <v/>
      </c>
      <c r="CN8" s="47">
        <f>('Аренда'!CN9+'Аренда'!CN10+'Аренда'!CN14)*'CF_Аренда'!CN6</f>
        <v/>
      </c>
      <c r="CO8" s="47">
        <f>('Аренда'!CO9+'Аренда'!CO10+'Аренда'!CO14)*'CF_Аренда'!CO6</f>
        <v/>
      </c>
      <c r="CP8" s="47">
        <f>('Аренда'!CP9+'Аренда'!CP10+'Аренда'!CP14)*'CF_Аренда'!CP6</f>
        <v/>
      </c>
      <c r="CQ8" s="47">
        <f>('Аренда'!CQ9+'Аренда'!CQ10+'Аренда'!CQ14)*'CF_Аренда'!CQ6</f>
        <v/>
      </c>
      <c r="CR8" s="47">
        <f>('Аренда'!CR9+'Аренда'!CR10+'Аренда'!CR14)*'CF_Аренда'!CR6</f>
        <v/>
      </c>
      <c r="CS8" s="47">
        <f>('Аренда'!CS9+'Аренда'!CS10+'Аренда'!CS14)*'CF_Аренда'!CS6</f>
        <v/>
      </c>
      <c r="CT8" s="47">
        <f>('Аренда'!CT9+'Аренда'!CT10+'Аренда'!CT14)*'CF_Аренда'!CT6</f>
        <v/>
      </c>
      <c r="CU8" s="47">
        <f>('Аренда'!CU9+'Аренда'!CU10+'Аренда'!CU14)*'CF_Аренда'!CU6</f>
        <v/>
      </c>
      <c r="CV8" s="47">
        <f>('Аренда'!CV9+'Аренда'!CV10+'Аренда'!CV14)*'CF_Аренда'!CV6</f>
        <v/>
      </c>
      <c r="CW8" s="47">
        <f>('Аренда'!CW9+'Аренда'!CW10+'Аренда'!CW14)*'CF_Аренда'!CW6</f>
        <v/>
      </c>
      <c r="CX8" s="47">
        <f>('Аренда'!CX9+'Аренда'!CX10+'Аренда'!CX14)*'CF_Аренда'!CX6</f>
        <v/>
      </c>
      <c r="CY8" s="47">
        <f>('Аренда'!CY9+'Аренда'!CY10+'Аренда'!CY14)*'CF_Аренда'!CY6</f>
        <v/>
      </c>
      <c r="CZ8" s="47">
        <f>('Аренда'!CZ9+'Аренда'!CZ10+'Аренда'!CZ14)*'CF_Аренда'!CZ6</f>
        <v/>
      </c>
      <c r="DA8" s="47">
        <f>('Аренда'!DA9+'Аренда'!DA10+'Аренда'!DA14)*'CF_Аренда'!DA6</f>
        <v/>
      </c>
      <c r="DB8" s="47">
        <f>('Аренда'!DB9+'Аренда'!DB10+'Аренда'!DB14)*'CF_Аренда'!DB6</f>
        <v/>
      </c>
      <c r="DC8" s="47">
        <f>('Аренда'!DC9+'Аренда'!DC10+'Аренда'!DC14)*'CF_Аренда'!DC6</f>
        <v/>
      </c>
      <c r="DD8" s="47">
        <f>('Аренда'!DD9+'Аренда'!DD10+'Аренда'!DD14)*'CF_Аренда'!DD6</f>
        <v/>
      </c>
      <c r="DE8" s="47">
        <f>('Аренда'!DE9+'Аренда'!DE10+'Аренда'!DE14)*'CF_Аренда'!DE6</f>
        <v/>
      </c>
      <c r="DF8" s="47">
        <f>('Аренда'!DF9+'Аренда'!DF10+'Аренда'!DF14)*'CF_Аренда'!DF6</f>
        <v/>
      </c>
      <c r="DG8" s="47">
        <f>('Аренда'!DG9+'Аренда'!DG10+'Аренда'!DG14)*'CF_Аренда'!DG6</f>
        <v/>
      </c>
      <c r="DH8" s="47">
        <f>('Аренда'!DH9+'Аренда'!DH10+'Аренда'!DH14)*'CF_Аренда'!DH6</f>
        <v/>
      </c>
      <c r="DI8" s="47">
        <f>('Аренда'!DI9+'Аренда'!DI10+'Аренда'!DI14)*'CF_Аренда'!DI6</f>
        <v/>
      </c>
      <c r="DJ8" s="47">
        <f>('Аренда'!DJ9+'Аренда'!DJ10+'Аренда'!DJ14)*'CF_Аренда'!DJ6</f>
        <v/>
      </c>
      <c r="DK8" s="47">
        <f>('Аренда'!DK9+'Аренда'!DK10+'Аренда'!DK14)*'CF_Аренда'!DK6</f>
        <v/>
      </c>
      <c r="DL8" s="47">
        <f>('Аренда'!DL9+'Аренда'!DL10+'Аренда'!DL14)*'CF_Аренда'!DL6</f>
        <v/>
      </c>
      <c r="DM8" s="47">
        <f>('Аренда'!DM9+'Аренда'!DM10+'Аренда'!DM14)*'CF_Аренда'!DM6</f>
        <v/>
      </c>
    </row>
    <row r="10">
      <c r="A10" s="17" t="inlineStr">
        <is>
          <t>НДС</t>
        </is>
      </c>
      <c r="B10" s="18" t="n"/>
      <c r="C10" s="18" t="n"/>
    </row>
    <row r="11">
      <c r="A11" s="36" t="inlineStr">
        <is>
          <t>НДС начислен</t>
        </is>
      </c>
      <c r="B11" s="40">
        <f>SUM(D11:DM11)</f>
        <v/>
      </c>
      <c r="C11" s="37" t="inlineStr">
        <is>
          <t>млн ₽</t>
        </is>
      </c>
      <c r="D11" s="47">
        <f>'CF_Аренда'!D7*'Вводные'!$B$11/(1+'Вводные'!$B$11)</f>
        <v/>
      </c>
      <c r="E11" s="47">
        <f>'CF_Аренда'!E7*'Вводные'!$B$11/(1+'Вводные'!$B$11)</f>
        <v/>
      </c>
      <c r="F11" s="47">
        <f>'CF_Аренда'!F7*'Вводные'!$B$11/(1+'Вводные'!$B$11)</f>
        <v/>
      </c>
      <c r="G11" s="47">
        <f>'CF_Аренда'!G7*'Вводные'!$B$11/(1+'Вводные'!$B$11)</f>
        <v/>
      </c>
      <c r="H11" s="47">
        <f>'CF_Аренда'!H7*'Вводные'!$B$11/(1+'Вводные'!$B$11)</f>
        <v/>
      </c>
      <c r="I11" s="47">
        <f>'CF_Аренда'!I7*'Вводные'!$B$11/(1+'Вводные'!$B$11)</f>
        <v/>
      </c>
      <c r="J11" s="47">
        <f>'CF_Аренда'!J7*'Вводные'!$B$11/(1+'Вводные'!$B$11)</f>
        <v/>
      </c>
      <c r="K11" s="47">
        <f>'CF_Аренда'!K7*'Вводные'!$B$11/(1+'Вводные'!$B$11)</f>
        <v/>
      </c>
      <c r="L11" s="47">
        <f>'CF_Аренда'!L7*'Вводные'!$B$11/(1+'Вводные'!$B$11)</f>
        <v/>
      </c>
      <c r="M11" s="47">
        <f>'CF_Аренда'!M7*'Вводные'!$B$11/(1+'Вводные'!$B$11)</f>
        <v/>
      </c>
      <c r="N11" s="47">
        <f>'CF_Аренда'!N7*'Вводные'!$B$11/(1+'Вводные'!$B$11)</f>
        <v/>
      </c>
      <c r="O11" s="47">
        <f>'CF_Аренда'!O7*'Вводные'!$B$11/(1+'Вводные'!$B$11)</f>
        <v/>
      </c>
      <c r="P11" s="47">
        <f>'CF_Аренда'!P7*'Вводные'!$B$11/(1+'Вводные'!$B$11)</f>
        <v/>
      </c>
      <c r="Q11" s="47">
        <f>'CF_Аренда'!Q7*'Вводные'!$B$11/(1+'Вводные'!$B$11)</f>
        <v/>
      </c>
      <c r="R11" s="47">
        <f>'CF_Аренда'!R7*'Вводные'!$B$11/(1+'Вводные'!$B$11)</f>
        <v/>
      </c>
      <c r="S11" s="47">
        <f>'CF_Аренда'!S7*'Вводные'!$B$11/(1+'Вводные'!$B$11)</f>
        <v/>
      </c>
      <c r="T11" s="47">
        <f>'CF_Аренда'!T7*'Вводные'!$B$11/(1+'Вводные'!$B$11)</f>
        <v/>
      </c>
      <c r="U11" s="47">
        <f>'CF_Аренда'!U7*'Вводные'!$B$11/(1+'Вводные'!$B$11)</f>
        <v/>
      </c>
      <c r="V11" s="47">
        <f>'CF_Аренда'!V7*'Вводные'!$B$11/(1+'Вводные'!$B$11)</f>
        <v/>
      </c>
      <c r="W11" s="47">
        <f>'CF_Аренда'!W7*'Вводные'!$B$11/(1+'Вводные'!$B$11)</f>
        <v/>
      </c>
      <c r="X11" s="47">
        <f>'CF_Аренда'!X7*'Вводные'!$B$11/(1+'Вводные'!$B$11)</f>
        <v/>
      </c>
      <c r="Y11" s="47">
        <f>'CF_Аренда'!Y7*'Вводные'!$B$11/(1+'Вводные'!$B$11)</f>
        <v/>
      </c>
      <c r="Z11" s="47">
        <f>'CF_Аренда'!Z7*'Вводные'!$B$11/(1+'Вводные'!$B$11)</f>
        <v/>
      </c>
      <c r="AA11" s="47">
        <f>'CF_Аренда'!AA7*'Вводные'!$B$11/(1+'Вводные'!$B$11)</f>
        <v/>
      </c>
      <c r="AB11" s="47">
        <f>'CF_Аренда'!AB7*'Вводные'!$B$11/(1+'Вводные'!$B$11)</f>
        <v/>
      </c>
      <c r="AC11" s="47">
        <f>'CF_Аренда'!AC7*'Вводные'!$B$11/(1+'Вводные'!$B$11)</f>
        <v/>
      </c>
      <c r="AD11" s="47">
        <f>'CF_Аренда'!AD7*'Вводные'!$B$11/(1+'Вводные'!$B$11)</f>
        <v/>
      </c>
      <c r="AE11" s="47">
        <f>'CF_Аренда'!AE7*'Вводные'!$B$11/(1+'Вводные'!$B$11)</f>
        <v/>
      </c>
      <c r="AF11" s="47">
        <f>'CF_Аренда'!AF7*'Вводные'!$B$11/(1+'Вводные'!$B$11)</f>
        <v/>
      </c>
      <c r="AG11" s="47">
        <f>'CF_Аренда'!AG7*'Вводные'!$B$11/(1+'Вводные'!$B$11)</f>
        <v/>
      </c>
      <c r="AH11" s="47">
        <f>'CF_Аренда'!AH7*'Вводные'!$B$11/(1+'Вводные'!$B$11)</f>
        <v/>
      </c>
      <c r="AI11" s="47">
        <f>'CF_Аренда'!AI7*'Вводные'!$B$11/(1+'Вводные'!$B$11)</f>
        <v/>
      </c>
      <c r="AJ11" s="47">
        <f>'CF_Аренда'!AJ7*'Вводные'!$B$11/(1+'Вводные'!$B$11)</f>
        <v/>
      </c>
      <c r="AK11" s="47">
        <f>'CF_Аренда'!AK7*'Вводные'!$B$11/(1+'Вводные'!$B$11)</f>
        <v/>
      </c>
      <c r="AL11" s="47">
        <f>'CF_Аренда'!AL7*'Вводные'!$B$11/(1+'Вводные'!$B$11)</f>
        <v/>
      </c>
      <c r="AM11" s="47">
        <f>'CF_Аренда'!AM7*'Вводные'!$B$11/(1+'Вводные'!$B$11)</f>
        <v/>
      </c>
      <c r="AN11" s="47">
        <f>'CF_Аренда'!AN7*'Вводные'!$B$11/(1+'Вводные'!$B$11)</f>
        <v/>
      </c>
      <c r="AO11" s="47">
        <f>'CF_Аренда'!AO7*'Вводные'!$B$11/(1+'Вводные'!$B$11)</f>
        <v/>
      </c>
      <c r="AP11" s="47">
        <f>'CF_Аренда'!AP7*'Вводные'!$B$11/(1+'Вводные'!$B$11)</f>
        <v/>
      </c>
      <c r="AQ11" s="47">
        <f>'CF_Аренда'!AQ7*'Вводные'!$B$11/(1+'Вводные'!$B$11)</f>
        <v/>
      </c>
      <c r="AR11" s="47">
        <f>'CF_Аренда'!AR7*'Вводные'!$B$11/(1+'Вводные'!$B$11)</f>
        <v/>
      </c>
      <c r="AS11" s="47">
        <f>'CF_Аренда'!AS7*'Вводные'!$B$11/(1+'Вводные'!$B$11)</f>
        <v/>
      </c>
      <c r="AT11" s="47">
        <f>'CF_Аренда'!AT7*'Вводные'!$B$11/(1+'Вводные'!$B$11)</f>
        <v/>
      </c>
      <c r="AU11" s="47">
        <f>'CF_Аренда'!AU7*'Вводные'!$B$11/(1+'Вводные'!$B$11)</f>
        <v/>
      </c>
      <c r="AV11" s="47">
        <f>'CF_Аренда'!AV7*'Вводные'!$B$11/(1+'Вводные'!$B$11)</f>
        <v/>
      </c>
      <c r="AW11" s="47">
        <f>'CF_Аренда'!AW7*'Вводные'!$B$11/(1+'Вводные'!$B$11)</f>
        <v/>
      </c>
      <c r="AX11" s="47">
        <f>'CF_Аренда'!AX7*'Вводные'!$B$11/(1+'Вводные'!$B$11)</f>
        <v/>
      </c>
      <c r="AY11" s="47">
        <f>'CF_Аренда'!AY7*'Вводные'!$B$11/(1+'Вводные'!$B$11)</f>
        <v/>
      </c>
      <c r="AZ11" s="47">
        <f>'CF_Аренда'!AZ7*'Вводные'!$B$11/(1+'Вводные'!$B$11)</f>
        <v/>
      </c>
      <c r="BA11" s="47">
        <f>'CF_Аренда'!BA7*'Вводные'!$B$11/(1+'Вводные'!$B$11)</f>
        <v/>
      </c>
      <c r="BB11" s="47">
        <f>'CF_Аренда'!BB7*'Вводные'!$B$11/(1+'Вводные'!$B$11)</f>
        <v/>
      </c>
      <c r="BC11" s="47">
        <f>'CF_Аренда'!BC7*'Вводные'!$B$11/(1+'Вводные'!$B$11)</f>
        <v/>
      </c>
      <c r="BD11" s="47">
        <f>'CF_Аренда'!BD7*'Вводные'!$B$11/(1+'Вводные'!$B$11)</f>
        <v/>
      </c>
      <c r="BE11" s="47">
        <f>'CF_Аренда'!BE7*'Вводные'!$B$11/(1+'Вводные'!$B$11)</f>
        <v/>
      </c>
      <c r="BF11" s="47">
        <f>'CF_Аренда'!BF7*'Вводные'!$B$11/(1+'Вводные'!$B$11)</f>
        <v/>
      </c>
      <c r="BG11" s="47">
        <f>'CF_Аренда'!BG7*'Вводные'!$B$11/(1+'Вводные'!$B$11)</f>
        <v/>
      </c>
      <c r="BH11" s="47">
        <f>'CF_Аренда'!BH7*'Вводные'!$B$11/(1+'Вводные'!$B$11)</f>
        <v/>
      </c>
      <c r="BI11" s="47">
        <f>'CF_Аренда'!BI7*'Вводные'!$B$11/(1+'Вводные'!$B$11)</f>
        <v/>
      </c>
      <c r="BJ11" s="47">
        <f>'CF_Аренда'!BJ7*'Вводные'!$B$11/(1+'Вводные'!$B$11)</f>
        <v/>
      </c>
      <c r="BK11" s="47">
        <f>'CF_Аренда'!BK7*'Вводные'!$B$11/(1+'Вводные'!$B$11)</f>
        <v/>
      </c>
      <c r="BL11" s="47">
        <f>'CF_Аренда'!BL7*'Вводные'!$B$11/(1+'Вводные'!$B$11)</f>
        <v/>
      </c>
      <c r="BM11" s="47">
        <f>'CF_Аренда'!BM7*'Вводные'!$B$11/(1+'Вводные'!$B$11)</f>
        <v/>
      </c>
      <c r="BN11" s="47">
        <f>'CF_Аренда'!BN7*'Вводные'!$B$11/(1+'Вводные'!$B$11)</f>
        <v/>
      </c>
      <c r="BO11" s="47">
        <f>'CF_Аренда'!BO7*'Вводные'!$B$11/(1+'Вводные'!$B$11)</f>
        <v/>
      </c>
      <c r="BP11" s="47">
        <f>'CF_Аренда'!BP7*'Вводные'!$B$11/(1+'Вводные'!$B$11)</f>
        <v/>
      </c>
      <c r="BQ11" s="47">
        <f>'CF_Аренда'!BQ7*'Вводные'!$B$11/(1+'Вводные'!$B$11)</f>
        <v/>
      </c>
      <c r="BR11" s="47">
        <f>'CF_Аренда'!BR7*'Вводные'!$B$11/(1+'Вводные'!$B$11)</f>
        <v/>
      </c>
      <c r="BS11" s="47">
        <f>'CF_Аренда'!BS7*'Вводные'!$B$11/(1+'Вводные'!$B$11)</f>
        <v/>
      </c>
      <c r="BT11" s="47">
        <f>'CF_Аренда'!BT7*'Вводные'!$B$11/(1+'Вводные'!$B$11)</f>
        <v/>
      </c>
      <c r="BU11" s="47">
        <f>'CF_Аренда'!BU7*'Вводные'!$B$11/(1+'Вводные'!$B$11)</f>
        <v/>
      </c>
      <c r="BV11" s="47">
        <f>'CF_Аренда'!BV7*'Вводные'!$B$11/(1+'Вводные'!$B$11)</f>
        <v/>
      </c>
      <c r="BW11" s="47">
        <f>'CF_Аренда'!BW7*'Вводные'!$B$11/(1+'Вводные'!$B$11)</f>
        <v/>
      </c>
      <c r="BX11" s="47">
        <f>'CF_Аренда'!BX7*'Вводные'!$B$11/(1+'Вводные'!$B$11)</f>
        <v/>
      </c>
      <c r="BY11" s="47">
        <f>'CF_Аренда'!BY7*'Вводные'!$B$11/(1+'Вводные'!$B$11)</f>
        <v/>
      </c>
      <c r="BZ11" s="47">
        <f>'CF_Аренда'!BZ7*'Вводные'!$B$11/(1+'Вводные'!$B$11)</f>
        <v/>
      </c>
      <c r="CA11" s="47">
        <f>'CF_Аренда'!CA7*'Вводные'!$B$11/(1+'Вводные'!$B$11)</f>
        <v/>
      </c>
      <c r="CB11" s="47">
        <f>'CF_Аренда'!CB7*'Вводные'!$B$11/(1+'Вводные'!$B$11)</f>
        <v/>
      </c>
      <c r="CC11" s="47">
        <f>'CF_Аренда'!CC7*'Вводные'!$B$11/(1+'Вводные'!$B$11)</f>
        <v/>
      </c>
      <c r="CD11" s="47">
        <f>'CF_Аренда'!CD7*'Вводные'!$B$11/(1+'Вводные'!$B$11)</f>
        <v/>
      </c>
      <c r="CE11" s="47">
        <f>'CF_Аренда'!CE7*'Вводные'!$B$11/(1+'Вводные'!$B$11)</f>
        <v/>
      </c>
      <c r="CF11" s="47">
        <f>'CF_Аренда'!CF7*'Вводные'!$B$11/(1+'Вводные'!$B$11)</f>
        <v/>
      </c>
      <c r="CG11" s="47">
        <f>'CF_Аренда'!CG7*'Вводные'!$B$11/(1+'Вводные'!$B$11)</f>
        <v/>
      </c>
      <c r="CH11" s="47">
        <f>'CF_Аренда'!CH7*'Вводные'!$B$11/(1+'Вводные'!$B$11)</f>
        <v/>
      </c>
      <c r="CI11" s="47">
        <f>'CF_Аренда'!CI7*'Вводные'!$B$11/(1+'Вводные'!$B$11)</f>
        <v/>
      </c>
      <c r="CJ11" s="47">
        <f>'CF_Аренда'!CJ7*'Вводные'!$B$11/(1+'Вводные'!$B$11)</f>
        <v/>
      </c>
      <c r="CK11" s="47">
        <f>'CF_Аренда'!CK7*'Вводные'!$B$11/(1+'Вводные'!$B$11)</f>
        <v/>
      </c>
      <c r="CL11" s="47">
        <f>'CF_Аренда'!CL7*'Вводные'!$B$11/(1+'Вводные'!$B$11)</f>
        <v/>
      </c>
      <c r="CM11" s="47">
        <f>'CF_Аренда'!CM7*'Вводные'!$B$11/(1+'Вводные'!$B$11)</f>
        <v/>
      </c>
      <c r="CN11" s="47">
        <f>'CF_Аренда'!CN7*'Вводные'!$B$11/(1+'Вводные'!$B$11)</f>
        <v/>
      </c>
      <c r="CO11" s="47">
        <f>'CF_Аренда'!CO7*'Вводные'!$B$11/(1+'Вводные'!$B$11)</f>
        <v/>
      </c>
      <c r="CP11" s="47">
        <f>'CF_Аренда'!CP7*'Вводные'!$B$11/(1+'Вводные'!$B$11)</f>
        <v/>
      </c>
      <c r="CQ11" s="47">
        <f>'CF_Аренда'!CQ7*'Вводные'!$B$11/(1+'Вводные'!$B$11)</f>
        <v/>
      </c>
      <c r="CR11" s="47">
        <f>'CF_Аренда'!CR7*'Вводные'!$B$11/(1+'Вводные'!$B$11)</f>
        <v/>
      </c>
      <c r="CS11" s="47">
        <f>'CF_Аренда'!CS7*'Вводные'!$B$11/(1+'Вводные'!$B$11)</f>
        <v/>
      </c>
      <c r="CT11" s="47">
        <f>'CF_Аренда'!CT7*'Вводные'!$B$11/(1+'Вводные'!$B$11)</f>
        <v/>
      </c>
      <c r="CU11" s="47">
        <f>'CF_Аренда'!CU7*'Вводные'!$B$11/(1+'Вводные'!$B$11)</f>
        <v/>
      </c>
      <c r="CV11" s="47">
        <f>'CF_Аренда'!CV7*'Вводные'!$B$11/(1+'Вводные'!$B$11)</f>
        <v/>
      </c>
      <c r="CW11" s="47">
        <f>'CF_Аренда'!CW7*'Вводные'!$B$11/(1+'Вводные'!$B$11)</f>
        <v/>
      </c>
      <c r="CX11" s="47">
        <f>'CF_Аренда'!CX7*'Вводные'!$B$11/(1+'Вводные'!$B$11)</f>
        <v/>
      </c>
      <c r="CY11" s="47">
        <f>'CF_Аренда'!CY7*'Вводные'!$B$11/(1+'Вводные'!$B$11)</f>
        <v/>
      </c>
      <c r="CZ11" s="47">
        <f>'CF_Аренда'!CZ7*'Вводные'!$B$11/(1+'Вводные'!$B$11)</f>
        <v/>
      </c>
      <c r="DA11" s="47">
        <f>'CF_Аренда'!DA7*'Вводные'!$B$11/(1+'Вводные'!$B$11)</f>
        <v/>
      </c>
      <c r="DB11" s="47">
        <f>'CF_Аренда'!DB7*'Вводные'!$B$11/(1+'Вводные'!$B$11)</f>
        <v/>
      </c>
      <c r="DC11" s="47">
        <f>'CF_Аренда'!DC7*'Вводные'!$B$11/(1+'Вводные'!$B$11)</f>
        <v/>
      </c>
      <c r="DD11" s="47">
        <f>'CF_Аренда'!DD7*'Вводные'!$B$11/(1+'Вводные'!$B$11)</f>
        <v/>
      </c>
      <c r="DE11" s="47">
        <f>'CF_Аренда'!DE7*'Вводные'!$B$11/(1+'Вводные'!$B$11)</f>
        <v/>
      </c>
      <c r="DF11" s="47">
        <f>'CF_Аренда'!DF7*'Вводные'!$B$11/(1+'Вводные'!$B$11)</f>
        <v/>
      </c>
      <c r="DG11" s="47">
        <f>'CF_Аренда'!DG7*'Вводные'!$B$11/(1+'Вводные'!$B$11)</f>
        <v/>
      </c>
      <c r="DH11" s="47">
        <f>'CF_Аренда'!DH7*'Вводные'!$B$11/(1+'Вводные'!$B$11)</f>
        <v/>
      </c>
      <c r="DI11" s="47">
        <f>'CF_Аренда'!DI7*'Вводные'!$B$11/(1+'Вводные'!$B$11)</f>
        <v/>
      </c>
      <c r="DJ11" s="47">
        <f>'CF_Аренда'!DJ7*'Вводные'!$B$11/(1+'Вводные'!$B$11)</f>
        <v/>
      </c>
      <c r="DK11" s="47">
        <f>'CF_Аренда'!DK7*'Вводные'!$B$11/(1+'Вводные'!$B$11)</f>
        <v/>
      </c>
      <c r="DL11" s="47">
        <f>'CF_Аренда'!DL7*'Вводные'!$B$11/(1+'Вводные'!$B$11)</f>
        <v/>
      </c>
      <c r="DM11" s="47">
        <f>'CF_Аренда'!DM7*'Вводные'!$B$11/(1+'Вводные'!$B$11)</f>
        <v/>
      </c>
    </row>
    <row r="12">
      <c r="A12" s="36" t="inlineStr">
        <is>
          <t>НДС к вычету накоплено до зачёта</t>
        </is>
      </c>
      <c r="B12" s="10" t="n"/>
      <c r="C12" s="37" t="inlineStr">
        <is>
          <t>млн ₽</t>
        </is>
      </c>
      <c r="D12" s="47">
        <f>'CAPEX'!D5*'Вводные'!$B$11/(1+'Вводные'!$B$11)-'CF_Аренда'!D11</f>
        <v/>
      </c>
      <c r="E12" s="47">
        <f>'CF_Аренда'!D14+'CAPEX'!E5*'Вводные'!$B$11/(1+'Вводные'!$B$11)*'CF_Аренда'!E6-'CF_Аренда'!E11</f>
        <v/>
      </c>
      <c r="F12" s="47">
        <f>'CF_Аренда'!E14+'CAPEX'!F5*'Вводные'!$B$11/(1+'Вводные'!$B$11)*'CF_Аренда'!F6-'CF_Аренда'!F11</f>
        <v/>
      </c>
      <c r="G12" s="47">
        <f>'CF_Аренда'!F14+'CAPEX'!G5*'Вводные'!$B$11/(1+'Вводные'!$B$11)*'CF_Аренда'!G6-'CF_Аренда'!G11</f>
        <v/>
      </c>
      <c r="H12" s="47">
        <f>'CF_Аренда'!G14+'CAPEX'!H5*'Вводные'!$B$11/(1+'Вводные'!$B$11)*'CF_Аренда'!H6-'CF_Аренда'!H11</f>
        <v/>
      </c>
      <c r="I12" s="47">
        <f>'CF_Аренда'!H14+'CAPEX'!I5*'Вводные'!$B$11/(1+'Вводные'!$B$11)*'CF_Аренда'!I6-'CF_Аренда'!I11</f>
        <v/>
      </c>
      <c r="J12" s="47">
        <f>'CF_Аренда'!I14+'CAPEX'!J5*'Вводные'!$B$11/(1+'Вводные'!$B$11)*'CF_Аренда'!J6-'CF_Аренда'!J11</f>
        <v/>
      </c>
      <c r="K12" s="47">
        <f>'CF_Аренда'!J14+'CAPEX'!K5*'Вводные'!$B$11/(1+'Вводные'!$B$11)*'CF_Аренда'!K6-'CF_Аренда'!K11</f>
        <v/>
      </c>
      <c r="L12" s="47">
        <f>'CF_Аренда'!K14+'CAPEX'!L5*'Вводные'!$B$11/(1+'Вводные'!$B$11)*'CF_Аренда'!L6-'CF_Аренда'!L11</f>
        <v/>
      </c>
      <c r="M12" s="47">
        <f>'CF_Аренда'!L14+'CAPEX'!M5*'Вводные'!$B$11/(1+'Вводные'!$B$11)*'CF_Аренда'!M6-'CF_Аренда'!M11</f>
        <v/>
      </c>
      <c r="N12" s="47">
        <f>'CF_Аренда'!M14+'CAPEX'!N5*'Вводные'!$B$11/(1+'Вводные'!$B$11)*'CF_Аренда'!N6-'CF_Аренда'!N11</f>
        <v/>
      </c>
      <c r="O12" s="47">
        <f>'CF_Аренда'!N14+'CAPEX'!O5*'Вводные'!$B$11/(1+'Вводные'!$B$11)*'CF_Аренда'!O6-'CF_Аренда'!O11</f>
        <v/>
      </c>
      <c r="P12" s="47">
        <f>'CF_Аренда'!O14+'CAPEX'!P5*'Вводные'!$B$11/(1+'Вводные'!$B$11)*'CF_Аренда'!P6-'CF_Аренда'!P11</f>
        <v/>
      </c>
      <c r="Q12" s="47">
        <f>'CF_Аренда'!P14+'CAPEX'!Q5*'Вводные'!$B$11/(1+'Вводные'!$B$11)*'CF_Аренда'!Q6-'CF_Аренда'!Q11</f>
        <v/>
      </c>
      <c r="R12" s="47">
        <f>'CF_Аренда'!Q14+'CAPEX'!R5*'Вводные'!$B$11/(1+'Вводные'!$B$11)*'CF_Аренда'!R6-'CF_Аренда'!R11</f>
        <v/>
      </c>
      <c r="S12" s="47">
        <f>'CF_Аренда'!R14+'CAPEX'!S5*'Вводные'!$B$11/(1+'Вводные'!$B$11)*'CF_Аренда'!S6-'CF_Аренда'!S11</f>
        <v/>
      </c>
      <c r="T12" s="47">
        <f>'CF_Аренда'!S14+'CAPEX'!T5*'Вводные'!$B$11/(1+'Вводные'!$B$11)*'CF_Аренда'!T6-'CF_Аренда'!T11</f>
        <v/>
      </c>
      <c r="U12" s="47">
        <f>'CF_Аренда'!T14+'CAPEX'!U5*'Вводные'!$B$11/(1+'Вводные'!$B$11)*'CF_Аренда'!U6-'CF_Аренда'!U11</f>
        <v/>
      </c>
      <c r="V12" s="47">
        <f>'CF_Аренда'!U14+'CAPEX'!V5*'Вводные'!$B$11/(1+'Вводные'!$B$11)*'CF_Аренда'!V6-'CF_Аренда'!V11</f>
        <v/>
      </c>
      <c r="W12" s="47">
        <f>'CF_Аренда'!V14+'CAPEX'!W5*'Вводные'!$B$11/(1+'Вводные'!$B$11)*'CF_Аренда'!W6-'CF_Аренда'!W11</f>
        <v/>
      </c>
      <c r="X12" s="47">
        <f>'CF_Аренда'!W14+'CAPEX'!X5*'Вводные'!$B$11/(1+'Вводные'!$B$11)*'CF_Аренда'!X6-'CF_Аренда'!X11</f>
        <v/>
      </c>
      <c r="Y12" s="47">
        <f>'CF_Аренда'!X14+'CAPEX'!Y5*'Вводные'!$B$11/(1+'Вводные'!$B$11)*'CF_Аренда'!Y6-'CF_Аренда'!Y11</f>
        <v/>
      </c>
      <c r="Z12" s="47">
        <f>'CF_Аренда'!Y14+'CAPEX'!Z5*'Вводные'!$B$11/(1+'Вводные'!$B$11)*'CF_Аренда'!Z6-'CF_Аренда'!Z11</f>
        <v/>
      </c>
      <c r="AA12" s="47">
        <f>'CF_Аренда'!Z14+'CAPEX'!AA5*'Вводные'!$B$11/(1+'Вводные'!$B$11)*'CF_Аренда'!AA6-'CF_Аренда'!AA11</f>
        <v/>
      </c>
      <c r="AB12" s="47">
        <f>'CF_Аренда'!AA14+'CAPEX'!AB5*'Вводные'!$B$11/(1+'Вводные'!$B$11)*'CF_Аренда'!AB6-'CF_Аренда'!AB11</f>
        <v/>
      </c>
      <c r="AC12" s="47">
        <f>'CF_Аренда'!AB14+'CAPEX'!AC5*'Вводные'!$B$11/(1+'Вводные'!$B$11)*'CF_Аренда'!AC6-'CF_Аренда'!AC11</f>
        <v/>
      </c>
      <c r="AD12" s="47">
        <f>'CF_Аренда'!AC14+'CAPEX'!AD5*'Вводные'!$B$11/(1+'Вводные'!$B$11)*'CF_Аренда'!AD6-'CF_Аренда'!AD11</f>
        <v/>
      </c>
      <c r="AE12" s="47">
        <f>'CF_Аренда'!AD14+'CAPEX'!AE5*'Вводные'!$B$11/(1+'Вводные'!$B$11)*'CF_Аренда'!AE6-'CF_Аренда'!AE11</f>
        <v/>
      </c>
      <c r="AF12" s="47">
        <f>'CF_Аренда'!AE14+'CAPEX'!AF5*'Вводные'!$B$11/(1+'Вводные'!$B$11)*'CF_Аренда'!AF6-'CF_Аренда'!AF11</f>
        <v/>
      </c>
      <c r="AG12" s="47">
        <f>'CF_Аренда'!AF14+'CAPEX'!AG5*'Вводные'!$B$11/(1+'Вводные'!$B$11)*'CF_Аренда'!AG6-'CF_Аренда'!AG11</f>
        <v/>
      </c>
      <c r="AH12" s="47">
        <f>'CF_Аренда'!AG14+'CAPEX'!AH5*'Вводные'!$B$11/(1+'Вводные'!$B$11)*'CF_Аренда'!AH6-'CF_Аренда'!AH11</f>
        <v/>
      </c>
      <c r="AI12" s="47">
        <f>'CF_Аренда'!AH14+'CAPEX'!AI5*'Вводные'!$B$11/(1+'Вводные'!$B$11)*'CF_Аренда'!AI6-'CF_Аренда'!AI11</f>
        <v/>
      </c>
      <c r="AJ12" s="47">
        <f>'CF_Аренда'!AI14+'CAPEX'!AJ5*'Вводные'!$B$11/(1+'Вводные'!$B$11)*'CF_Аренда'!AJ6-'CF_Аренда'!AJ11</f>
        <v/>
      </c>
      <c r="AK12" s="47">
        <f>'CF_Аренда'!AJ14+'CAPEX'!AK5*'Вводные'!$B$11/(1+'Вводные'!$B$11)*'CF_Аренда'!AK6-'CF_Аренда'!AK11</f>
        <v/>
      </c>
      <c r="AL12" s="47">
        <f>'CF_Аренда'!AK14+'CAPEX'!AL5*'Вводные'!$B$11/(1+'Вводные'!$B$11)*'CF_Аренда'!AL6-'CF_Аренда'!AL11</f>
        <v/>
      </c>
      <c r="AM12" s="47">
        <f>'CF_Аренда'!AL14+'CAPEX'!AM5*'Вводные'!$B$11/(1+'Вводные'!$B$11)*'CF_Аренда'!AM6-'CF_Аренда'!AM11</f>
        <v/>
      </c>
      <c r="AN12" s="47">
        <f>'CF_Аренда'!AM14+'CAPEX'!AN5*'Вводные'!$B$11/(1+'Вводные'!$B$11)*'CF_Аренда'!AN6-'CF_Аренда'!AN11</f>
        <v/>
      </c>
      <c r="AO12" s="47">
        <f>'CF_Аренда'!AN14+'CAPEX'!AO5*'Вводные'!$B$11/(1+'Вводные'!$B$11)*'CF_Аренда'!AO6-'CF_Аренда'!AO11</f>
        <v/>
      </c>
      <c r="AP12" s="47">
        <f>'CF_Аренда'!AO14+'CAPEX'!AP5*'Вводные'!$B$11/(1+'Вводные'!$B$11)*'CF_Аренда'!AP6-'CF_Аренда'!AP11</f>
        <v/>
      </c>
      <c r="AQ12" s="47">
        <f>'CF_Аренда'!AP14+'CAPEX'!AQ5*'Вводные'!$B$11/(1+'Вводные'!$B$11)*'CF_Аренда'!AQ6-'CF_Аренда'!AQ11</f>
        <v/>
      </c>
      <c r="AR12" s="47">
        <f>'CF_Аренда'!AQ14+'CAPEX'!AR5*'Вводные'!$B$11/(1+'Вводные'!$B$11)*'CF_Аренда'!AR6-'CF_Аренда'!AR11</f>
        <v/>
      </c>
      <c r="AS12" s="47">
        <f>'CF_Аренда'!AR14+'CAPEX'!AS5*'Вводные'!$B$11/(1+'Вводные'!$B$11)*'CF_Аренда'!AS6-'CF_Аренда'!AS11</f>
        <v/>
      </c>
      <c r="AT12" s="47">
        <f>'CF_Аренда'!AS14+'CAPEX'!AT5*'Вводные'!$B$11/(1+'Вводные'!$B$11)*'CF_Аренда'!AT6-'CF_Аренда'!AT11</f>
        <v/>
      </c>
      <c r="AU12" s="47">
        <f>'CF_Аренда'!AT14+'CAPEX'!AU5*'Вводные'!$B$11/(1+'Вводные'!$B$11)*'CF_Аренда'!AU6-'CF_Аренда'!AU11</f>
        <v/>
      </c>
      <c r="AV12" s="47">
        <f>'CF_Аренда'!AU14+'CAPEX'!AV5*'Вводные'!$B$11/(1+'Вводные'!$B$11)*'CF_Аренда'!AV6-'CF_Аренда'!AV11</f>
        <v/>
      </c>
      <c r="AW12" s="47">
        <f>'CF_Аренда'!AV14+'CAPEX'!AW5*'Вводные'!$B$11/(1+'Вводные'!$B$11)*'CF_Аренда'!AW6-'CF_Аренда'!AW11</f>
        <v/>
      </c>
      <c r="AX12" s="47">
        <f>'CF_Аренда'!AW14+'CAPEX'!AX5*'Вводные'!$B$11/(1+'Вводные'!$B$11)*'CF_Аренда'!AX6-'CF_Аренда'!AX11</f>
        <v/>
      </c>
      <c r="AY12" s="47">
        <f>'CF_Аренда'!AX14+'CAPEX'!AY5*'Вводные'!$B$11/(1+'Вводные'!$B$11)*'CF_Аренда'!AY6-'CF_Аренда'!AY11</f>
        <v/>
      </c>
      <c r="AZ12" s="47">
        <f>'CF_Аренда'!AY14+'CAPEX'!AZ5*'Вводные'!$B$11/(1+'Вводные'!$B$11)*'CF_Аренда'!AZ6-'CF_Аренда'!AZ11</f>
        <v/>
      </c>
      <c r="BA12" s="47">
        <f>'CF_Аренда'!AZ14+'CAPEX'!BA5*'Вводные'!$B$11/(1+'Вводные'!$B$11)*'CF_Аренда'!BA6-'CF_Аренда'!BA11</f>
        <v/>
      </c>
      <c r="BB12" s="47">
        <f>'CF_Аренда'!BA14+'CAPEX'!BB5*'Вводные'!$B$11/(1+'Вводные'!$B$11)*'CF_Аренда'!BB6-'CF_Аренда'!BB11</f>
        <v/>
      </c>
      <c r="BC12" s="47">
        <f>'CF_Аренда'!BB14+'CAPEX'!BC5*'Вводные'!$B$11/(1+'Вводные'!$B$11)*'CF_Аренда'!BC6-'CF_Аренда'!BC11</f>
        <v/>
      </c>
      <c r="BD12" s="47">
        <f>'CF_Аренда'!BC14+'CAPEX'!BD5*'Вводные'!$B$11/(1+'Вводные'!$B$11)*'CF_Аренда'!BD6-'CF_Аренда'!BD11</f>
        <v/>
      </c>
      <c r="BE12" s="47">
        <f>'CF_Аренда'!BD14+'CAPEX'!BE5*'Вводные'!$B$11/(1+'Вводные'!$B$11)*'CF_Аренда'!BE6-'CF_Аренда'!BE11</f>
        <v/>
      </c>
      <c r="BF12" s="47">
        <f>'CF_Аренда'!BE14+'CAPEX'!BF5*'Вводные'!$B$11/(1+'Вводные'!$B$11)*'CF_Аренда'!BF6-'CF_Аренда'!BF11</f>
        <v/>
      </c>
      <c r="BG12" s="47">
        <f>'CF_Аренда'!BF14+'CAPEX'!BG5*'Вводные'!$B$11/(1+'Вводные'!$B$11)*'CF_Аренда'!BG6-'CF_Аренда'!BG11</f>
        <v/>
      </c>
      <c r="BH12" s="47">
        <f>'CF_Аренда'!BG14+'CAPEX'!BH5*'Вводные'!$B$11/(1+'Вводные'!$B$11)*'CF_Аренда'!BH6-'CF_Аренда'!BH11</f>
        <v/>
      </c>
      <c r="BI12" s="47">
        <f>'CF_Аренда'!BH14+'CAPEX'!BI5*'Вводные'!$B$11/(1+'Вводные'!$B$11)*'CF_Аренда'!BI6-'CF_Аренда'!BI11</f>
        <v/>
      </c>
      <c r="BJ12" s="47">
        <f>'CF_Аренда'!BI14+'CAPEX'!BJ5*'Вводные'!$B$11/(1+'Вводные'!$B$11)*'CF_Аренда'!BJ6-'CF_Аренда'!BJ11</f>
        <v/>
      </c>
      <c r="BK12" s="47">
        <f>'CF_Аренда'!BJ14+'CAPEX'!BK5*'Вводные'!$B$11/(1+'Вводные'!$B$11)*'CF_Аренда'!BK6-'CF_Аренда'!BK11</f>
        <v/>
      </c>
      <c r="BL12" s="47">
        <f>'CF_Аренда'!BK14+'CAPEX'!BL5*'Вводные'!$B$11/(1+'Вводные'!$B$11)*'CF_Аренда'!BL6-'CF_Аренда'!BL11</f>
        <v/>
      </c>
      <c r="BM12" s="47">
        <f>'CF_Аренда'!BL14+'CAPEX'!BM5*'Вводные'!$B$11/(1+'Вводные'!$B$11)*'CF_Аренда'!BM6-'CF_Аренда'!BM11</f>
        <v/>
      </c>
      <c r="BN12" s="47">
        <f>'CF_Аренда'!BM14+'CAPEX'!BN5*'Вводные'!$B$11/(1+'Вводные'!$B$11)*'CF_Аренда'!BN6-'CF_Аренда'!BN11</f>
        <v/>
      </c>
      <c r="BO12" s="47">
        <f>'CF_Аренда'!BN14+'CAPEX'!BO5*'Вводные'!$B$11/(1+'Вводные'!$B$11)*'CF_Аренда'!BO6-'CF_Аренда'!BO11</f>
        <v/>
      </c>
      <c r="BP12" s="47">
        <f>'CF_Аренда'!BO14+'CAPEX'!BP5*'Вводные'!$B$11/(1+'Вводные'!$B$11)*'CF_Аренда'!BP6-'CF_Аренда'!BP11</f>
        <v/>
      </c>
      <c r="BQ12" s="47">
        <f>'CF_Аренда'!BP14+'CAPEX'!BQ5*'Вводные'!$B$11/(1+'Вводные'!$B$11)*'CF_Аренда'!BQ6-'CF_Аренда'!BQ11</f>
        <v/>
      </c>
      <c r="BR12" s="47">
        <f>'CF_Аренда'!BQ14+'CAPEX'!BR5*'Вводные'!$B$11/(1+'Вводные'!$B$11)*'CF_Аренда'!BR6-'CF_Аренда'!BR11</f>
        <v/>
      </c>
      <c r="BS12" s="47">
        <f>'CF_Аренда'!BR14+'CAPEX'!BS5*'Вводные'!$B$11/(1+'Вводные'!$B$11)*'CF_Аренда'!BS6-'CF_Аренда'!BS11</f>
        <v/>
      </c>
      <c r="BT12" s="47">
        <f>'CF_Аренда'!BS14+'CAPEX'!BT5*'Вводные'!$B$11/(1+'Вводные'!$B$11)*'CF_Аренда'!BT6-'CF_Аренда'!BT11</f>
        <v/>
      </c>
      <c r="BU12" s="47">
        <f>'CF_Аренда'!BT14+'CAPEX'!BU5*'Вводные'!$B$11/(1+'Вводные'!$B$11)*'CF_Аренда'!BU6-'CF_Аренда'!BU11</f>
        <v/>
      </c>
      <c r="BV12" s="47">
        <f>'CF_Аренда'!BU14+'CAPEX'!BV5*'Вводные'!$B$11/(1+'Вводные'!$B$11)*'CF_Аренда'!BV6-'CF_Аренда'!BV11</f>
        <v/>
      </c>
      <c r="BW12" s="47">
        <f>'CF_Аренда'!BV14+'CAPEX'!BW5*'Вводные'!$B$11/(1+'Вводные'!$B$11)*'CF_Аренда'!BW6-'CF_Аренда'!BW11</f>
        <v/>
      </c>
      <c r="BX12" s="47">
        <f>'CF_Аренда'!BW14+'CAPEX'!BX5*'Вводные'!$B$11/(1+'Вводные'!$B$11)*'CF_Аренда'!BX6-'CF_Аренда'!BX11</f>
        <v/>
      </c>
      <c r="BY12" s="47">
        <f>'CF_Аренда'!BX14+'CAPEX'!BY5*'Вводные'!$B$11/(1+'Вводные'!$B$11)*'CF_Аренда'!BY6-'CF_Аренда'!BY11</f>
        <v/>
      </c>
      <c r="BZ12" s="47">
        <f>'CF_Аренда'!BY14+'CAPEX'!BZ5*'Вводные'!$B$11/(1+'Вводные'!$B$11)*'CF_Аренда'!BZ6-'CF_Аренда'!BZ11</f>
        <v/>
      </c>
      <c r="CA12" s="47">
        <f>'CF_Аренда'!BZ14+'CAPEX'!CA5*'Вводные'!$B$11/(1+'Вводные'!$B$11)*'CF_Аренда'!CA6-'CF_Аренда'!CA11</f>
        <v/>
      </c>
      <c r="CB12" s="47">
        <f>'CF_Аренда'!CA14+'CAPEX'!CB5*'Вводные'!$B$11/(1+'Вводные'!$B$11)*'CF_Аренда'!CB6-'CF_Аренда'!CB11</f>
        <v/>
      </c>
      <c r="CC12" s="47">
        <f>'CF_Аренда'!CB14+'CAPEX'!CC5*'Вводные'!$B$11/(1+'Вводные'!$B$11)*'CF_Аренда'!CC6-'CF_Аренда'!CC11</f>
        <v/>
      </c>
      <c r="CD12" s="47">
        <f>'CF_Аренда'!CC14+'CAPEX'!CD5*'Вводные'!$B$11/(1+'Вводные'!$B$11)*'CF_Аренда'!CD6-'CF_Аренда'!CD11</f>
        <v/>
      </c>
      <c r="CE12" s="47">
        <f>'CF_Аренда'!CD14+'CAPEX'!CE5*'Вводные'!$B$11/(1+'Вводные'!$B$11)*'CF_Аренда'!CE6-'CF_Аренда'!CE11</f>
        <v/>
      </c>
      <c r="CF12" s="47">
        <f>'CF_Аренда'!CE14+'CAPEX'!CF5*'Вводные'!$B$11/(1+'Вводные'!$B$11)*'CF_Аренда'!CF6-'CF_Аренда'!CF11</f>
        <v/>
      </c>
      <c r="CG12" s="47">
        <f>'CF_Аренда'!CF14+'CAPEX'!CG5*'Вводные'!$B$11/(1+'Вводные'!$B$11)*'CF_Аренда'!CG6-'CF_Аренда'!CG11</f>
        <v/>
      </c>
      <c r="CH12" s="47">
        <f>'CF_Аренда'!CG14+'CAPEX'!CH5*'Вводные'!$B$11/(1+'Вводные'!$B$11)*'CF_Аренда'!CH6-'CF_Аренда'!CH11</f>
        <v/>
      </c>
      <c r="CI12" s="47">
        <f>'CF_Аренда'!CH14+'CAPEX'!CI5*'Вводные'!$B$11/(1+'Вводные'!$B$11)*'CF_Аренда'!CI6-'CF_Аренда'!CI11</f>
        <v/>
      </c>
      <c r="CJ12" s="47">
        <f>'CF_Аренда'!CI14+'CAPEX'!CJ5*'Вводные'!$B$11/(1+'Вводные'!$B$11)*'CF_Аренда'!CJ6-'CF_Аренда'!CJ11</f>
        <v/>
      </c>
      <c r="CK12" s="47">
        <f>'CF_Аренда'!CJ14+'CAPEX'!CK5*'Вводные'!$B$11/(1+'Вводные'!$B$11)*'CF_Аренда'!CK6-'CF_Аренда'!CK11</f>
        <v/>
      </c>
      <c r="CL12" s="47">
        <f>'CF_Аренда'!CK14+'CAPEX'!CL5*'Вводные'!$B$11/(1+'Вводные'!$B$11)*'CF_Аренда'!CL6-'CF_Аренда'!CL11</f>
        <v/>
      </c>
      <c r="CM12" s="47">
        <f>'CF_Аренда'!CL14+'CAPEX'!CM5*'Вводные'!$B$11/(1+'Вводные'!$B$11)*'CF_Аренда'!CM6-'CF_Аренда'!CM11</f>
        <v/>
      </c>
      <c r="CN12" s="47">
        <f>'CF_Аренда'!CM14+'CAPEX'!CN5*'Вводные'!$B$11/(1+'Вводные'!$B$11)*'CF_Аренда'!CN6-'CF_Аренда'!CN11</f>
        <v/>
      </c>
      <c r="CO12" s="47">
        <f>'CF_Аренда'!CN14+'CAPEX'!CO5*'Вводные'!$B$11/(1+'Вводные'!$B$11)*'CF_Аренда'!CO6-'CF_Аренда'!CO11</f>
        <v/>
      </c>
      <c r="CP12" s="47">
        <f>'CF_Аренда'!CO14+'CAPEX'!CP5*'Вводные'!$B$11/(1+'Вводные'!$B$11)*'CF_Аренда'!CP6-'CF_Аренда'!CP11</f>
        <v/>
      </c>
      <c r="CQ12" s="47">
        <f>'CF_Аренда'!CP14+'CAPEX'!CQ5*'Вводные'!$B$11/(1+'Вводные'!$B$11)*'CF_Аренда'!CQ6-'CF_Аренда'!CQ11</f>
        <v/>
      </c>
      <c r="CR12" s="47">
        <f>'CF_Аренда'!CQ14+'CAPEX'!CR5*'Вводные'!$B$11/(1+'Вводные'!$B$11)*'CF_Аренда'!CR6-'CF_Аренда'!CR11</f>
        <v/>
      </c>
      <c r="CS12" s="47">
        <f>'CF_Аренда'!CR14+'CAPEX'!CS5*'Вводные'!$B$11/(1+'Вводные'!$B$11)*'CF_Аренда'!CS6-'CF_Аренда'!CS11</f>
        <v/>
      </c>
      <c r="CT12" s="47">
        <f>'CF_Аренда'!CS14+'CAPEX'!CT5*'Вводные'!$B$11/(1+'Вводные'!$B$11)*'CF_Аренда'!CT6-'CF_Аренда'!CT11</f>
        <v/>
      </c>
      <c r="CU12" s="47">
        <f>'CF_Аренда'!CT14+'CAPEX'!CU5*'Вводные'!$B$11/(1+'Вводные'!$B$11)*'CF_Аренда'!CU6-'CF_Аренда'!CU11</f>
        <v/>
      </c>
      <c r="CV12" s="47">
        <f>'CF_Аренда'!CU14+'CAPEX'!CV5*'Вводные'!$B$11/(1+'Вводные'!$B$11)*'CF_Аренда'!CV6-'CF_Аренда'!CV11</f>
        <v/>
      </c>
      <c r="CW12" s="47">
        <f>'CF_Аренда'!CV14+'CAPEX'!CW5*'Вводные'!$B$11/(1+'Вводные'!$B$11)*'CF_Аренда'!CW6-'CF_Аренда'!CW11</f>
        <v/>
      </c>
      <c r="CX12" s="47">
        <f>'CF_Аренда'!CW14+'CAPEX'!CX5*'Вводные'!$B$11/(1+'Вводные'!$B$11)*'CF_Аренда'!CX6-'CF_Аренда'!CX11</f>
        <v/>
      </c>
      <c r="CY12" s="47">
        <f>'CF_Аренда'!CX14+'CAPEX'!CY5*'Вводные'!$B$11/(1+'Вводные'!$B$11)*'CF_Аренда'!CY6-'CF_Аренда'!CY11</f>
        <v/>
      </c>
      <c r="CZ12" s="47">
        <f>'CF_Аренда'!CY14+'CAPEX'!CZ5*'Вводные'!$B$11/(1+'Вводные'!$B$11)*'CF_Аренда'!CZ6-'CF_Аренда'!CZ11</f>
        <v/>
      </c>
      <c r="DA12" s="47">
        <f>'CF_Аренда'!CZ14+'CAPEX'!DA5*'Вводные'!$B$11/(1+'Вводные'!$B$11)*'CF_Аренда'!DA6-'CF_Аренда'!DA11</f>
        <v/>
      </c>
      <c r="DB12" s="47">
        <f>'CF_Аренда'!DA14+'CAPEX'!DB5*'Вводные'!$B$11/(1+'Вводные'!$B$11)*'CF_Аренда'!DB6-'CF_Аренда'!DB11</f>
        <v/>
      </c>
      <c r="DC12" s="47">
        <f>'CF_Аренда'!DB14+'CAPEX'!DC5*'Вводные'!$B$11/(1+'Вводные'!$B$11)*'CF_Аренда'!DC6-'CF_Аренда'!DC11</f>
        <v/>
      </c>
      <c r="DD12" s="47">
        <f>'CF_Аренда'!DC14+'CAPEX'!DD5*'Вводные'!$B$11/(1+'Вводные'!$B$11)*'CF_Аренда'!DD6-'CF_Аренда'!DD11</f>
        <v/>
      </c>
      <c r="DE12" s="47">
        <f>'CF_Аренда'!DD14+'CAPEX'!DE5*'Вводные'!$B$11/(1+'Вводные'!$B$11)*'CF_Аренда'!DE6-'CF_Аренда'!DE11</f>
        <v/>
      </c>
      <c r="DF12" s="47">
        <f>'CF_Аренда'!DE14+'CAPEX'!DF5*'Вводные'!$B$11/(1+'Вводные'!$B$11)*'CF_Аренда'!DF6-'CF_Аренда'!DF11</f>
        <v/>
      </c>
      <c r="DG12" s="47">
        <f>'CF_Аренда'!DF14+'CAPEX'!DG5*'Вводные'!$B$11/(1+'Вводные'!$B$11)*'CF_Аренда'!DG6-'CF_Аренда'!DG11</f>
        <v/>
      </c>
      <c r="DH12" s="47">
        <f>'CF_Аренда'!DG14+'CAPEX'!DH5*'Вводные'!$B$11/(1+'Вводные'!$B$11)*'CF_Аренда'!DH6-'CF_Аренда'!DH11</f>
        <v/>
      </c>
      <c r="DI12" s="47">
        <f>'CF_Аренда'!DH14+'CAPEX'!DI5*'Вводные'!$B$11/(1+'Вводные'!$B$11)*'CF_Аренда'!DI6-'CF_Аренда'!DI11</f>
        <v/>
      </c>
      <c r="DJ12" s="47">
        <f>'CF_Аренда'!DI14+'CAPEX'!DJ5*'Вводные'!$B$11/(1+'Вводные'!$B$11)*'CF_Аренда'!DJ6-'CF_Аренда'!DJ11</f>
        <v/>
      </c>
      <c r="DK12" s="47">
        <f>'CF_Аренда'!DJ14+'CAPEX'!DK5*'Вводные'!$B$11/(1+'Вводные'!$B$11)*'CF_Аренда'!DK6-'CF_Аренда'!DK11</f>
        <v/>
      </c>
      <c r="DL12" s="47">
        <f>'CF_Аренда'!DK14+'CAPEX'!DL5*'Вводные'!$B$11/(1+'Вводные'!$B$11)*'CF_Аренда'!DL6-'CF_Аренда'!DL11</f>
        <v/>
      </c>
      <c r="DM12" s="47">
        <f>'CF_Аренда'!DL14+'CAPEX'!DM5*'Вводные'!$B$11/(1+'Вводные'!$B$11)*'CF_Аренда'!DM6-'CF_Аренда'!DM11</f>
        <v/>
      </c>
    </row>
    <row r="13">
      <c r="A13" s="36" t="inlineStr">
        <is>
          <t>НДС уплачен (минус — возмещён)</t>
        </is>
      </c>
      <c r="B13" s="40">
        <f>SUM(D13:DM13)</f>
        <v/>
      </c>
      <c r="C13" s="37" t="inlineStr">
        <is>
          <t>млн ₽</t>
        </is>
      </c>
      <c r="D13" s="47">
        <f>IF(AND('СРОКИ'!D12=1,'CF_Аренда'!D12&gt;0),-'CF_Аренда'!D12,IF('CF_Аренда'!D12&lt;0,-'CF_Аренда'!D12,0))*'CF_Аренда'!D6</f>
        <v/>
      </c>
      <c r="E13" s="47">
        <f>IF(AND('СРОКИ'!E12=1,'CF_Аренда'!E12&gt;0),-'CF_Аренда'!E12,IF('CF_Аренда'!E12&lt;0,-'CF_Аренда'!E12,0))*'CF_Аренда'!E6</f>
        <v/>
      </c>
      <c r="F13" s="47">
        <f>IF(AND('СРОКИ'!F12=1,'CF_Аренда'!F12&gt;0),-'CF_Аренда'!F12,IF('CF_Аренда'!F12&lt;0,-'CF_Аренда'!F12,0))*'CF_Аренда'!F6</f>
        <v/>
      </c>
      <c r="G13" s="47">
        <f>IF(AND('СРОКИ'!G12=1,'CF_Аренда'!G12&gt;0),-'CF_Аренда'!G12,IF('CF_Аренда'!G12&lt;0,-'CF_Аренда'!G12,0))*'CF_Аренда'!G6</f>
        <v/>
      </c>
      <c r="H13" s="47">
        <f>IF(AND('СРОКИ'!H12=1,'CF_Аренда'!H12&gt;0),-'CF_Аренда'!H12,IF('CF_Аренда'!H12&lt;0,-'CF_Аренда'!H12,0))*'CF_Аренда'!H6</f>
        <v/>
      </c>
      <c r="I13" s="47">
        <f>IF(AND('СРОКИ'!I12=1,'CF_Аренда'!I12&gt;0),-'CF_Аренда'!I12,IF('CF_Аренда'!I12&lt;0,-'CF_Аренда'!I12,0))*'CF_Аренда'!I6</f>
        <v/>
      </c>
      <c r="J13" s="47">
        <f>IF(AND('СРОКИ'!J12=1,'CF_Аренда'!J12&gt;0),-'CF_Аренда'!J12,IF('CF_Аренда'!J12&lt;0,-'CF_Аренда'!J12,0))*'CF_Аренда'!J6</f>
        <v/>
      </c>
      <c r="K13" s="47">
        <f>IF(AND('СРОКИ'!K12=1,'CF_Аренда'!K12&gt;0),-'CF_Аренда'!K12,IF('CF_Аренда'!K12&lt;0,-'CF_Аренда'!K12,0))*'CF_Аренда'!K6</f>
        <v/>
      </c>
      <c r="L13" s="47">
        <f>IF(AND('СРОКИ'!L12=1,'CF_Аренда'!L12&gt;0),-'CF_Аренда'!L12,IF('CF_Аренда'!L12&lt;0,-'CF_Аренда'!L12,0))*'CF_Аренда'!L6</f>
        <v/>
      </c>
      <c r="M13" s="47">
        <f>IF(AND('СРОКИ'!M12=1,'CF_Аренда'!M12&gt;0),-'CF_Аренда'!M12,IF('CF_Аренда'!M12&lt;0,-'CF_Аренда'!M12,0))*'CF_Аренда'!M6</f>
        <v/>
      </c>
      <c r="N13" s="47">
        <f>IF(AND('СРОКИ'!N12=1,'CF_Аренда'!N12&gt;0),-'CF_Аренда'!N12,IF('CF_Аренда'!N12&lt;0,-'CF_Аренда'!N12,0))*'CF_Аренда'!N6</f>
        <v/>
      </c>
      <c r="O13" s="47">
        <f>IF(AND('СРОКИ'!O12=1,'CF_Аренда'!O12&gt;0),-'CF_Аренда'!O12,IF('CF_Аренда'!O12&lt;0,-'CF_Аренда'!O12,0))*'CF_Аренда'!O6</f>
        <v/>
      </c>
      <c r="P13" s="47">
        <f>IF(AND('СРОКИ'!P12=1,'CF_Аренда'!P12&gt;0),-'CF_Аренда'!P12,IF('CF_Аренда'!P12&lt;0,-'CF_Аренда'!P12,0))*'CF_Аренда'!P6</f>
        <v/>
      </c>
      <c r="Q13" s="47">
        <f>IF(AND('СРОКИ'!Q12=1,'CF_Аренда'!Q12&gt;0),-'CF_Аренда'!Q12,IF('CF_Аренда'!Q12&lt;0,-'CF_Аренда'!Q12,0))*'CF_Аренда'!Q6</f>
        <v/>
      </c>
      <c r="R13" s="47">
        <f>IF(AND('СРОКИ'!R12=1,'CF_Аренда'!R12&gt;0),-'CF_Аренда'!R12,IF('CF_Аренда'!R12&lt;0,-'CF_Аренда'!R12,0))*'CF_Аренда'!R6</f>
        <v/>
      </c>
      <c r="S13" s="47">
        <f>IF(AND('СРОКИ'!S12=1,'CF_Аренда'!S12&gt;0),-'CF_Аренда'!S12,IF('CF_Аренда'!S12&lt;0,-'CF_Аренда'!S12,0))*'CF_Аренда'!S6</f>
        <v/>
      </c>
      <c r="T13" s="47">
        <f>IF(AND('СРОКИ'!T12=1,'CF_Аренда'!T12&gt;0),-'CF_Аренда'!T12,IF('CF_Аренда'!T12&lt;0,-'CF_Аренда'!T12,0))*'CF_Аренда'!T6</f>
        <v/>
      </c>
      <c r="U13" s="47">
        <f>IF(AND('СРОКИ'!U12=1,'CF_Аренда'!U12&gt;0),-'CF_Аренда'!U12,IF('CF_Аренда'!U12&lt;0,-'CF_Аренда'!U12,0))*'CF_Аренда'!U6</f>
        <v/>
      </c>
      <c r="V13" s="47">
        <f>IF(AND('СРОКИ'!V12=1,'CF_Аренда'!V12&gt;0),-'CF_Аренда'!V12,IF('CF_Аренда'!V12&lt;0,-'CF_Аренда'!V12,0))*'CF_Аренда'!V6</f>
        <v/>
      </c>
      <c r="W13" s="47">
        <f>IF(AND('СРОКИ'!W12=1,'CF_Аренда'!W12&gt;0),-'CF_Аренда'!W12,IF('CF_Аренда'!W12&lt;0,-'CF_Аренда'!W12,0))*'CF_Аренда'!W6</f>
        <v/>
      </c>
      <c r="X13" s="47">
        <f>IF(AND('СРОКИ'!X12=1,'CF_Аренда'!X12&gt;0),-'CF_Аренда'!X12,IF('CF_Аренда'!X12&lt;0,-'CF_Аренда'!X12,0))*'CF_Аренда'!X6</f>
        <v/>
      </c>
      <c r="Y13" s="47">
        <f>IF(AND('СРОКИ'!Y12=1,'CF_Аренда'!Y12&gt;0),-'CF_Аренда'!Y12,IF('CF_Аренда'!Y12&lt;0,-'CF_Аренда'!Y12,0))*'CF_Аренда'!Y6</f>
        <v/>
      </c>
      <c r="Z13" s="47">
        <f>IF(AND('СРОКИ'!Z12=1,'CF_Аренда'!Z12&gt;0),-'CF_Аренда'!Z12,IF('CF_Аренда'!Z12&lt;0,-'CF_Аренда'!Z12,0))*'CF_Аренда'!Z6</f>
        <v/>
      </c>
      <c r="AA13" s="47">
        <f>IF(AND('СРОКИ'!AA12=1,'CF_Аренда'!AA12&gt;0),-'CF_Аренда'!AA12,IF('CF_Аренда'!AA12&lt;0,-'CF_Аренда'!AA12,0))*'CF_Аренда'!AA6</f>
        <v/>
      </c>
      <c r="AB13" s="47">
        <f>IF(AND('СРОКИ'!AB12=1,'CF_Аренда'!AB12&gt;0),-'CF_Аренда'!AB12,IF('CF_Аренда'!AB12&lt;0,-'CF_Аренда'!AB12,0))*'CF_Аренда'!AB6</f>
        <v/>
      </c>
      <c r="AC13" s="47">
        <f>IF(AND('СРОКИ'!AC12=1,'CF_Аренда'!AC12&gt;0),-'CF_Аренда'!AC12,IF('CF_Аренда'!AC12&lt;0,-'CF_Аренда'!AC12,0))*'CF_Аренда'!AC6</f>
        <v/>
      </c>
      <c r="AD13" s="47">
        <f>IF(AND('СРОКИ'!AD12=1,'CF_Аренда'!AD12&gt;0),-'CF_Аренда'!AD12,IF('CF_Аренда'!AD12&lt;0,-'CF_Аренда'!AD12,0))*'CF_Аренда'!AD6</f>
        <v/>
      </c>
      <c r="AE13" s="47">
        <f>IF(AND('СРОКИ'!AE12=1,'CF_Аренда'!AE12&gt;0),-'CF_Аренда'!AE12,IF('CF_Аренда'!AE12&lt;0,-'CF_Аренда'!AE12,0))*'CF_Аренда'!AE6</f>
        <v/>
      </c>
      <c r="AF13" s="47">
        <f>IF(AND('СРОКИ'!AF12=1,'CF_Аренда'!AF12&gt;0),-'CF_Аренда'!AF12,IF('CF_Аренда'!AF12&lt;0,-'CF_Аренда'!AF12,0))*'CF_Аренда'!AF6</f>
        <v/>
      </c>
      <c r="AG13" s="47">
        <f>IF(AND('СРОКИ'!AG12=1,'CF_Аренда'!AG12&gt;0),-'CF_Аренда'!AG12,IF('CF_Аренда'!AG12&lt;0,-'CF_Аренда'!AG12,0))*'CF_Аренда'!AG6</f>
        <v/>
      </c>
      <c r="AH13" s="47">
        <f>IF(AND('СРОКИ'!AH12=1,'CF_Аренда'!AH12&gt;0),-'CF_Аренда'!AH12,IF('CF_Аренда'!AH12&lt;0,-'CF_Аренда'!AH12,0))*'CF_Аренда'!AH6</f>
        <v/>
      </c>
      <c r="AI13" s="47">
        <f>IF(AND('СРОКИ'!AI12=1,'CF_Аренда'!AI12&gt;0),-'CF_Аренда'!AI12,IF('CF_Аренда'!AI12&lt;0,-'CF_Аренда'!AI12,0))*'CF_Аренда'!AI6</f>
        <v/>
      </c>
      <c r="AJ13" s="47">
        <f>IF(AND('СРОКИ'!AJ12=1,'CF_Аренда'!AJ12&gt;0),-'CF_Аренда'!AJ12,IF('CF_Аренда'!AJ12&lt;0,-'CF_Аренда'!AJ12,0))*'CF_Аренда'!AJ6</f>
        <v/>
      </c>
      <c r="AK13" s="47">
        <f>IF(AND('СРОКИ'!AK12=1,'CF_Аренда'!AK12&gt;0),-'CF_Аренда'!AK12,IF('CF_Аренда'!AK12&lt;0,-'CF_Аренда'!AK12,0))*'CF_Аренда'!AK6</f>
        <v/>
      </c>
      <c r="AL13" s="47">
        <f>IF(AND('СРОКИ'!AL12=1,'CF_Аренда'!AL12&gt;0),-'CF_Аренда'!AL12,IF('CF_Аренда'!AL12&lt;0,-'CF_Аренда'!AL12,0))*'CF_Аренда'!AL6</f>
        <v/>
      </c>
      <c r="AM13" s="47">
        <f>IF(AND('СРОКИ'!AM12=1,'CF_Аренда'!AM12&gt;0),-'CF_Аренда'!AM12,IF('CF_Аренда'!AM12&lt;0,-'CF_Аренда'!AM12,0))*'CF_Аренда'!AM6</f>
        <v/>
      </c>
      <c r="AN13" s="47">
        <f>IF(AND('СРОКИ'!AN12=1,'CF_Аренда'!AN12&gt;0),-'CF_Аренда'!AN12,IF('CF_Аренда'!AN12&lt;0,-'CF_Аренда'!AN12,0))*'CF_Аренда'!AN6</f>
        <v/>
      </c>
      <c r="AO13" s="47">
        <f>IF(AND('СРОКИ'!AO12=1,'CF_Аренда'!AO12&gt;0),-'CF_Аренда'!AO12,IF('CF_Аренда'!AO12&lt;0,-'CF_Аренда'!AO12,0))*'CF_Аренда'!AO6</f>
        <v/>
      </c>
      <c r="AP13" s="47">
        <f>IF(AND('СРОКИ'!AP12=1,'CF_Аренда'!AP12&gt;0),-'CF_Аренда'!AP12,IF('CF_Аренда'!AP12&lt;0,-'CF_Аренда'!AP12,0))*'CF_Аренда'!AP6</f>
        <v/>
      </c>
      <c r="AQ13" s="47">
        <f>IF(AND('СРОКИ'!AQ12=1,'CF_Аренда'!AQ12&gt;0),-'CF_Аренда'!AQ12,IF('CF_Аренда'!AQ12&lt;0,-'CF_Аренда'!AQ12,0))*'CF_Аренда'!AQ6</f>
        <v/>
      </c>
      <c r="AR13" s="47">
        <f>IF(AND('СРОКИ'!AR12=1,'CF_Аренда'!AR12&gt;0),-'CF_Аренда'!AR12,IF('CF_Аренда'!AR12&lt;0,-'CF_Аренда'!AR12,0))*'CF_Аренда'!AR6</f>
        <v/>
      </c>
      <c r="AS13" s="47">
        <f>IF(AND('СРОКИ'!AS12=1,'CF_Аренда'!AS12&gt;0),-'CF_Аренда'!AS12,IF('CF_Аренда'!AS12&lt;0,-'CF_Аренда'!AS12,0))*'CF_Аренда'!AS6</f>
        <v/>
      </c>
      <c r="AT13" s="47">
        <f>IF(AND('СРОКИ'!AT12=1,'CF_Аренда'!AT12&gt;0),-'CF_Аренда'!AT12,IF('CF_Аренда'!AT12&lt;0,-'CF_Аренда'!AT12,0))*'CF_Аренда'!AT6</f>
        <v/>
      </c>
      <c r="AU13" s="47">
        <f>IF(AND('СРОКИ'!AU12=1,'CF_Аренда'!AU12&gt;0),-'CF_Аренда'!AU12,IF('CF_Аренда'!AU12&lt;0,-'CF_Аренда'!AU12,0))*'CF_Аренда'!AU6</f>
        <v/>
      </c>
      <c r="AV13" s="47">
        <f>IF(AND('СРОКИ'!AV12=1,'CF_Аренда'!AV12&gt;0),-'CF_Аренда'!AV12,IF('CF_Аренда'!AV12&lt;0,-'CF_Аренда'!AV12,0))*'CF_Аренда'!AV6</f>
        <v/>
      </c>
      <c r="AW13" s="47">
        <f>IF(AND('СРОКИ'!AW12=1,'CF_Аренда'!AW12&gt;0),-'CF_Аренда'!AW12,IF('CF_Аренда'!AW12&lt;0,-'CF_Аренда'!AW12,0))*'CF_Аренда'!AW6</f>
        <v/>
      </c>
      <c r="AX13" s="47">
        <f>IF(AND('СРОКИ'!AX12=1,'CF_Аренда'!AX12&gt;0),-'CF_Аренда'!AX12,IF('CF_Аренда'!AX12&lt;0,-'CF_Аренда'!AX12,0))*'CF_Аренда'!AX6</f>
        <v/>
      </c>
      <c r="AY13" s="47">
        <f>IF(AND('СРОКИ'!AY12=1,'CF_Аренда'!AY12&gt;0),-'CF_Аренда'!AY12,IF('CF_Аренда'!AY12&lt;0,-'CF_Аренда'!AY12,0))*'CF_Аренда'!AY6</f>
        <v/>
      </c>
      <c r="AZ13" s="47">
        <f>IF(AND('СРОКИ'!AZ12=1,'CF_Аренда'!AZ12&gt;0),-'CF_Аренда'!AZ12,IF('CF_Аренда'!AZ12&lt;0,-'CF_Аренда'!AZ12,0))*'CF_Аренда'!AZ6</f>
        <v/>
      </c>
      <c r="BA13" s="47">
        <f>IF(AND('СРОКИ'!BA12=1,'CF_Аренда'!BA12&gt;0),-'CF_Аренда'!BA12,IF('CF_Аренда'!BA12&lt;0,-'CF_Аренда'!BA12,0))*'CF_Аренда'!BA6</f>
        <v/>
      </c>
      <c r="BB13" s="47">
        <f>IF(AND('СРОКИ'!BB12=1,'CF_Аренда'!BB12&gt;0),-'CF_Аренда'!BB12,IF('CF_Аренда'!BB12&lt;0,-'CF_Аренда'!BB12,0))*'CF_Аренда'!BB6</f>
        <v/>
      </c>
      <c r="BC13" s="47">
        <f>IF(AND('СРОКИ'!BC12=1,'CF_Аренда'!BC12&gt;0),-'CF_Аренда'!BC12,IF('CF_Аренда'!BC12&lt;0,-'CF_Аренда'!BC12,0))*'CF_Аренда'!BC6</f>
        <v/>
      </c>
      <c r="BD13" s="47">
        <f>IF(AND('СРОКИ'!BD12=1,'CF_Аренда'!BD12&gt;0),-'CF_Аренда'!BD12,IF('CF_Аренда'!BD12&lt;0,-'CF_Аренда'!BD12,0))*'CF_Аренда'!BD6</f>
        <v/>
      </c>
      <c r="BE13" s="47">
        <f>IF(AND('СРОКИ'!BE12=1,'CF_Аренда'!BE12&gt;0),-'CF_Аренда'!BE12,IF('CF_Аренда'!BE12&lt;0,-'CF_Аренда'!BE12,0))*'CF_Аренда'!BE6</f>
        <v/>
      </c>
      <c r="BF13" s="47">
        <f>IF(AND('СРОКИ'!BF12=1,'CF_Аренда'!BF12&gt;0),-'CF_Аренда'!BF12,IF('CF_Аренда'!BF12&lt;0,-'CF_Аренда'!BF12,0))*'CF_Аренда'!BF6</f>
        <v/>
      </c>
      <c r="BG13" s="47">
        <f>IF(AND('СРОКИ'!BG12=1,'CF_Аренда'!BG12&gt;0),-'CF_Аренда'!BG12,IF('CF_Аренда'!BG12&lt;0,-'CF_Аренда'!BG12,0))*'CF_Аренда'!BG6</f>
        <v/>
      </c>
      <c r="BH13" s="47">
        <f>IF(AND('СРОКИ'!BH12=1,'CF_Аренда'!BH12&gt;0),-'CF_Аренда'!BH12,IF('CF_Аренда'!BH12&lt;0,-'CF_Аренда'!BH12,0))*'CF_Аренда'!BH6</f>
        <v/>
      </c>
      <c r="BI13" s="47">
        <f>IF(AND('СРОКИ'!BI12=1,'CF_Аренда'!BI12&gt;0),-'CF_Аренда'!BI12,IF('CF_Аренда'!BI12&lt;0,-'CF_Аренда'!BI12,0))*'CF_Аренда'!BI6</f>
        <v/>
      </c>
      <c r="BJ13" s="47">
        <f>IF(AND('СРОКИ'!BJ12=1,'CF_Аренда'!BJ12&gt;0),-'CF_Аренда'!BJ12,IF('CF_Аренда'!BJ12&lt;0,-'CF_Аренда'!BJ12,0))*'CF_Аренда'!BJ6</f>
        <v/>
      </c>
      <c r="BK13" s="47">
        <f>IF(AND('СРОКИ'!BK12=1,'CF_Аренда'!BK12&gt;0),-'CF_Аренда'!BK12,IF('CF_Аренда'!BK12&lt;0,-'CF_Аренда'!BK12,0))*'CF_Аренда'!BK6</f>
        <v/>
      </c>
      <c r="BL13" s="47">
        <f>IF(AND('СРОКИ'!BL12=1,'CF_Аренда'!BL12&gt;0),-'CF_Аренда'!BL12,IF('CF_Аренда'!BL12&lt;0,-'CF_Аренда'!BL12,0))*'CF_Аренда'!BL6</f>
        <v/>
      </c>
      <c r="BM13" s="47">
        <f>IF(AND('СРОКИ'!BM12=1,'CF_Аренда'!BM12&gt;0),-'CF_Аренда'!BM12,IF('CF_Аренда'!BM12&lt;0,-'CF_Аренда'!BM12,0))*'CF_Аренда'!BM6</f>
        <v/>
      </c>
      <c r="BN13" s="47">
        <f>IF(AND('СРОКИ'!BN12=1,'CF_Аренда'!BN12&gt;0),-'CF_Аренда'!BN12,IF('CF_Аренда'!BN12&lt;0,-'CF_Аренда'!BN12,0))*'CF_Аренда'!BN6</f>
        <v/>
      </c>
      <c r="BO13" s="47">
        <f>IF(AND('СРОКИ'!BO12=1,'CF_Аренда'!BO12&gt;0),-'CF_Аренда'!BO12,IF('CF_Аренда'!BO12&lt;0,-'CF_Аренда'!BO12,0))*'CF_Аренда'!BO6</f>
        <v/>
      </c>
      <c r="BP13" s="47">
        <f>IF(AND('СРОКИ'!BP12=1,'CF_Аренда'!BP12&gt;0),-'CF_Аренда'!BP12,IF('CF_Аренда'!BP12&lt;0,-'CF_Аренда'!BP12,0))*'CF_Аренда'!BP6</f>
        <v/>
      </c>
      <c r="BQ13" s="47">
        <f>IF(AND('СРОКИ'!BQ12=1,'CF_Аренда'!BQ12&gt;0),-'CF_Аренда'!BQ12,IF('CF_Аренда'!BQ12&lt;0,-'CF_Аренда'!BQ12,0))*'CF_Аренда'!BQ6</f>
        <v/>
      </c>
      <c r="BR13" s="47">
        <f>IF(AND('СРОКИ'!BR12=1,'CF_Аренда'!BR12&gt;0),-'CF_Аренда'!BR12,IF('CF_Аренда'!BR12&lt;0,-'CF_Аренда'!BR12,0))*'CF_Аренда'!BR6</f>
        <v/>
      </c>
      <c r="BS13" s="47">
        <f>IF(AND('СРОКИ'!BS12=1,'CF_Аренда'!BS12&gt;0),-'CF_Аренда'!BS12,IF('CF_Аренда'!BS12&lt;0,-'CF_Аренда'!BS12,0))*'CF_Аренда'!BS6</f>
        <v/>
      </c>
      <c r="BT13" s="47">
        <f>IF(AND('СРОКИ'!BT12=1,'CF_Аренда'!BT12&gt;0),-'CF_Аренда'!BT12,IF('CF_Аренда'!BT12&lt;0,-'CF_Аренда'!BT12,0))*'CF_Аренда'!BT6</f>
        <v/>
      </c>
      <c r="BU13" s="47">
        <f>IF(AND('СРОКИ'!BU12=1,'CF_Аренда'!BU12&gt;0),-'CF_Аренда'!BU12,IF('CF_Аренда'!BU12&lt;0,-'CF_Аренда'!BU12,0))*'CF_Аренда'!BU6</f>
        <v/>
      </c>
      <c r="BV13" s="47">
        <f>IF(AND('СРОКИ'!BV12=1,'CF_Аренда'!BV12&gt;0),-'CF_Аренда'!BV12,IF('CF_Аренда'!BV12&lt;0,-'CF_Аренда'!BV12,0))*'CF_Аренда'!BV6</f>
        <v/>
      </c>
      <c r="BW13" s="47">
        <f>IF(AND('СРОКИ'!BW12=1,'CF_Аренда'!BW12&gt;0),-'CF_Аренда'!BW12,IF('CF_Аренда'!BW12&lt;0,-'CF_Аренда'!BW12,0))*'CF_Аренда'!BW6</f>
        <v/>
      </c>
      <c r="BX13" s="47">
        <f>IF(AND('СРОКИ'!BX12=1,'CF_Аренда'!BX12&gt;0),-'CF_Аренда'!BX12,IF('CF_Аренда'!BX12&lt;0,-'CF_Аренда'!BX12,0))*'CF_Аренда'!BX6</f>
        <v/>
      </c>
      <c r="BY13" s="47">
        <f>IF(AND('СРОКИ'!BY12=1,'CF_Аренда'!BY12&gt;0),-'CF_Аренда'!BY12,IF('CF_Аренда'!BY12&lt;0,-'CF_Аренда'!BY12,0))*'CF_Аренда'!BY6</f>
        <v/>
      </c>
      <c r="BZ13" s="47">
        <f>IF(AND('СРОКИ'!BZ12=1,'CF_Аренда'!BZ12&gt;0),-'CF_Аренда'!BZ12,IF('CF_Аренда'!BZ12&lt;0,-'CF_Аренда'!BZ12,0))*'CF_Аренда'!BZ6</f>
        <v/>
      </c>
      <c r="CA13" s="47">
        <f>IF(AND('СРОКИ'!CA12=1,'CF_Аренда'!CA12&gt;0),-'CF_Аренда'!CA12,IF('CF_Аренда'!CA12&lt;0,-'CF_Аренда'!CA12,0))*'CF_Аренда'!CA6</f>
        <v/>
      </c>
      <c r="CB13" s="47">
        <f>IF(AND('СРОКИ'!CB12=1,'CF_Аренда'!CB12&gt;0),-'CF_Аренда'!CB12,IF('CF_Аренда'!CB12&lt;0,-'CF_Аренда'!CB12,0))*'CF_Аренда'!CB6</f>
        <v/>
      </c>
      <c r="CC13" s="47">
        <f>IF(AND('СРОКИ'!CC12=1,'CF_Аренда'!CC12&gt;0),-'CF_Аренда'!CC12,IF('CF_Аренда'!CC12&lt;0,-'CF_Аренда'!CC12,0))*'CF_Аренда'!CC6</f>
        <v/>
      </c>
      <c r="CD13" s="47">
        <f>IF(AND('СРОКИ'!CD12=1,'CF_Аренда'!CD12&gt;0),-'CF_Аренда'!CD12,IF('CF_Аренда'!CD12&lt;0,-'CF_Аренда'!CD12,0))*'CF_Аренда'!CD6</f>
        <v/>
      </c>
      <c r="CE13" s="47">
        <f>IF(AND('СРОКИ'!CE12=1,'CF_Аренда'!CE12&gt;0),-'CF_Аренда'!CE12,IF('CF_Аренда'!CE12&lt;0,-'CF_Аренда'!CE12,0))*'CF_Аренда'!CE6</f>
        <v/>
      </c>
      <c r="CF13" s="47">
        <f>IF(AND('СРОКИ'!CF12=1,'CF_Аренда'!CF12&gt;0),-'CF_Аренда'!CF12,IF('CF_Аренда'!CF12&lt;0,-'CF_Аренда'!CF12,0))*'CF_Аренда'!CF6</f>
        <v/>
      </c>
      <c r="CG13" s="47">
        <f>IF(AND('СРОКИ'!CG12=1,'CF_Аренда'!CG12&gt;0),-'CF_Аренда'!CG12,IF('CF_Аренда'!CG12&lt;0,-'CF_Аренда'!CG12,0))*'CF_Аренда'!CG6</f>
        <v/>
      </c>
      <c r="CH13" s="47">
        <f>IF(AND('СРОКИ'!CH12=1,'CF_Аренда'!CH12&gt;0),-'CF_Аренда'!CH12,IF('CF_Аренда'!CH12&lt;0,-'CF_Аренда'!CH12,0))*'CF_Аренда'!CH6</f>
        <v/>
      </c>
      <c r="CI13" s="47">
        <f>IF(AND('СРОКИ'!CI12=1,'CF_Аренда'!CI12&gt;0),-'CF_Аренда'!CI12,IF('CF_Аренда'!CI12&lt;0,-'CF_Аренда'!CI12,0))*'CF_Аренда'!CI6</f>
        <v/>
      </c>
      <c r="CJ13" s="47">
        <f>IF(AND('СРОКИ'!CJ12=1,'CF_Аренда'!CJ12&gt;0),-'CF_Аренда'!CJ12,IF('CF_Аренда'!CJ12&lt;0,-'CF_Аренда'!CJ12,0))*'CF_Аренда'!CJ6</f>
        <v/>
      </c>
      <c r="CK13" s="47">
        <f>IF(AND('СРОКИ'!CK12=1,'CF_Аренда'!CK12&gt;0),-'CF_Аренда'!CK12,IF('CF_Аренда'!CK12&lt;0,-'CF_Аренда'!CK12,0))*'CF_Аренда'!CK6</f>
        <v/>
      </c>
      <c r="CL13" s="47">
        <f>IF(AND('СРОКИ'!CL12=1,'CF_Аренда'!CL12&gt;0),-'CF_Аренда'!CL12,IF('CF_Аренда'!CL12&lt;0,-'CF_Аренда'!CL12,0))*'CF_Аренда'!CL6</f>
        <v/>
      </c>
      <c r="CM13" s="47">
        <f>IF(AND('СРОКИ'!CM12=1,'CF_Аренда'!CM12&gt;0),-'CF_Аренда'!CM12,IF('CF_Аренда'!CM12&lt;0,-'CF_Аренда'!CM12,0))*'CF_Аренда'!CM6</f>
        <v/>
      </c>
      <c r="CN13" s="47">
        <f>IF(AND('СРОКИ'!CN12=1,'CF_Аренда'!CN12&gt;0),-'CF_Аренда'!CN12,IF('CF_Аренда'!CN12&lt;0,-'CF_Аренда'!CN12,0))*'CF_Аренда'!CN6</f>
        <v/>
      </c>
      <c r="CO13" s="47">
        <f>IF(AND('СРОКИ'!CO12=1,'CF_Аренда'!CO12&gt;0),-'CF_Аренда'!CO12,IF('CF_Аренда'!CO12&lt;0,-'CF_Аренда'!CO12,0))*'CF_Аренда'!CO6</f>
        <v/>
      </c>
      <c r="CP13" s="47">
        <f>IF(AND('СРОКИ'!CP12=1,'CF_Аренда'!CP12&gt;0),-'CF_Аренда'!CP12,IF('CF_Аренда'!CP12&lt;0,-'CF_Аренда'!CP12,0))*'CF_Аренда'!CP6</f>
        <v/>
      </c>
      <c r="CQ13" s="47">
        <f>IF(AND('СРОКИ'!CQ12=1,'CF_Аренда'!CQ12&gt;0),-'CF_Аренда'!CQ12,IF('CF_Аренда'!CQ12&lt;0,-'CF_Аренда'!CQ12,0))*'CF_Аренда'!CQ6</f>
        <v/>
      </c>
      <c r="CR13" s="47">
        <f>IF(AND('СРОКИ'!CR12=1,'CF_Аренда'!CR12&gt;0),-'CF_Аренда'!CR12,IF('CF_Аренда'!CR12&lt;0,-'CF_Аренда'!CR12,0))*'CF_Аренда'!CR6</f>
        <v/>
      </c>
      <c r="CS13" s="47">
        <f>IF(AND('СРОКИ'!CS12=1,'CF_Аренда'!CS12&gt;0),-'CF_Аренда'!CS12,IF('CF_Аренда'!CS12&lt;0,-'CF_Аренда'!CS12,0))*'CF_Аренда'!CS6</f>
        <v/>
      </c>
      <c r="CT13" s="47">
        <f>IF(AND('СРОКИ'!CT12=1,'CF_Аренда'!CT12&gt;0),-'CF_Аренда'!CT12,IF('CF_Аренда'!CT12&lt;0,-'CF_Аренда'!CT12,0))*'CF_Аренда'!CT6</f>
        <v/>
      </c>
      <c r="CU13" s="47">
        <f>IF(AND('СРОКИ'!CU12=1,'CF_Аренда'!CU12&gt;0),-'CF_Аренда'!CU12,IF('CF_Аренда'!CU12&lt;0,-'CF_Аренда'!CU12,0))*'CF_Аренда'!CU6</f>
        <v/>
      </c>
      <c r="CV13" s="47">
        <f>IF(AND('СРОКИ'!CV12=1,'CF_Аренда'!CV12&gt;0),-'CF_Аренда'!CV12,IF('CF_Аренда'!CV12&lt;0,-'CF_Аренда'!CV12,0))*'CF_Аренда'!CV6</f>
        <v/>
      </c>
      <c r="CW13" s="47">
        <f>IF(AND('СРОКИ'!CW12=1,'CF_Аренда'!CW12&gt;0),-'CF_Аренда'!CW12,IF('CF_Аренда'!CW12&lt;0,-'CF_Аренда'!CW12,0))*'CF_Аренда'!CW6</f>
        <v/>
      </c>
      <c r="CX13" s="47">
        <f>IF(AND('СРОКИ'!CX12=1,'CF_Аренда'!CX12&gt;0),-'CF_Аренда'!CX12,IF('CF_Аренда'!CX12&lt;0,-'CF_Аренда'!CX12,0))*'CF_Аренда'!CX6</f>
        <v/>
      </c>
      <c r="CY13" s="47">
        <f>IF(AND('СРОКИ'!CY12=1,'CF_Аренда'!CY12&gt;0),-'CF_Аренда'!CY12,IF('CF_Аренда'!CY12&lt;0,-'CF_Аренда'!CY12,0))*'CF_Аренда'!CY6</f>
        <v/>
      </c>
      <c r="CZ13" s="47">
        <f>IF(AND('СРОКИ'!CZ12=1,'CF_Аренда'!CZ12&gt;0),-'CF_Аренда'!CZ12,IF('CF_Аренда'!CZ12&lt;0,-'CF_Аренда'!CZ12,0))*'CF_Аренда'!CZ6</f>
        <v/>
      </c>
      <c r="DA13" s="47">
        <f>IF(AND('СРОКИ'!DA12=1,'CF_Аренда'!DA12&gt;0),-'CF_Аренда'!DA12,IF('CF_Аренда'!DA12&lt;0,-'CF_Аренда'!DA12,0))*'CF_Аренда'!DA6</f>
        <v/>
      </c>
      <c r="DB13" s="47">
        <f>IF(AND('СРОКИ'!DB12=1,'CF_Аренда'!DB12&gt;0),-'CF_Аренда'!DB12,IF('CF_Аренда'!DB12&lt;0,-'CF_Аренда'!DB12,0))*'CF_Аренда'!DB6</f>
        <v/>
      </c>
      <c r="DC13" s="47">
        <f>IF(AND('СРОКИ'!DC12=1,'CF_Аренда'!DC12&gt;0),-'CF_Аренда'!DC12,IF('CF_Аренда'!DC12&lt;0,-'CF_Аренда'!DC12,0))*'CF_Аренда'!DC6</f>
        <v/>
      </c>
      <c r="DD13" s="47">
        <f>IF(AND('СРОКИ'!DD12=1,'CF_Аренда'!DD12&gt;0),-'CF_Аренда'!DD12,IF('CF_Аренда'!DD12&lt;0,-'CF_Аренда'!DD12,0))*'CF_Аренда'!DD6</f>
        <v/>
      </c>
      <c r="DE13" s="47">
        <f>IF(AND('СРОКИ'!DE12=1,'CF_Аренда'!DE12&gt;0),-'CF_Аренда'!DE12,IF('CF_Аренда'!DE12&lt;0,-'CF_Аренда'!DE12,0))*'CF_Аренда'!DE6</f>
        <v/>
      </c>
      <c r="DF13" s="47">
        <f>IF(AND('СРОКИ'!DF12=1,'CF_Аренда'!DF12&gt;0),-'CF_Аренда'!DF12,IF('CF_Аренда'!DF12&lt;0,-'CF_Аренда'!DF12,0))*'CF_Аренда'!DF6</f>
        <v/>
      </c>
      <c r="DG13" s="47">
        <f>IF(AND('СРОКИ'!DG12=1,'CF_Аренда'!DG12&gt;0),-'CF_Аренда'!DG12,IF('CF_Аренда'!DG12&lt;0,-'CF_Аренда'!DG12,0))*'CF_Аренда'!DG6</f>
        <v/>
      </c>
      <c r="DH13" s="47">
        <f>IF(AND('СРОКИ'!DH12=1,'CF_Аренда'!DH12&gt;0),-'CF_Аренда'!DH12,IF('CF_Аренда'!DH12&lt;0,-'CF_Аренда'!DH12,0))*'CF_Аренда'!DH6</f>
        <v/>
      </c>
      <c r="DI13" s="47">
        <f>IF(AND('СРОКИ'!DI12=1,'CF_Аренда'!DI12&gt;0),-'CF_Аренда'!DI12,IF('CF_Аренда'!DI12&lt;0,-'CF_Аренда'!DI12,0))*'CF_Аренда'!DI6</f>
        <v/>
      </c>
      <c r="DJ13" s="47">
        <f>IF(AND('СРОКИ'!DJ12=1,'CF_Аренда'!DJ12&gt;0),-'CF_Аренда'!DJ12,IF('CF_Аренда'!DJ12&lt;0,-'CF_Аренда'!DJ12,0))*'CF_Аренда'!DJ6</f>
        <v/>
      </c>
      <c r="DK13" s="47">
        <f>IF(AND('СРОКИ'!DK12=1,'CF_Аренда'!DK12&gt;0),-'CF_Аренда'!DK12,IF('CF_Аренда'!DK12&lt;0,-'CF_Аренда'!DK12,0))*'CF_Аренда'!DK6</f>
        <v/>
      </c>
      <c r="DL13" s="47">
        <f>IF(AND('СРОКИ'!DL12=1,'CF_Аренда'!DL12&gt;0),-'CF_Аренда'!DL12,IF('CF_Аренда'!DL12&lt;0,-'CF_Аренда'!DL12,0))*'CF_Аренда'!DL6</f>
        <v/>
      </c>
      <c r="DM13" s="47">
        <f>IF(AND('СРОКИ'!DM12=1,'CF_Аренда'!DM12&gt;0),-'CF_Аренда'!DM12,IF('CF_Аренда'!DM12&lt;0,-'CF_Аренда'!DM12,0))*'CF_Аренда'!DM6</f>
        <v/>
      </c>
    </row>
    <row r="14">
      <c r="A14" s="36" t="inlineStr">
        <is>
          <t>НДС к вычету на конец месяца</t>
        </is>
      </c>
      <c r="B14" s="10" t="n"/>
      <c r="C14" s="37" t="inlineStr">
        <is>
          <t>млн ₽</t>
        </is>
      </c>
      <c r="D14" s="47">
        <f>'CF_Аренда'!D12+'CF_Аренда'!D13</f>
        <v/>
      </c>
      <c r="E14" s="47">
        <f>'CF_Аренда'!E12+'CF_Аренда'!E13</f>
        <v/>
      </c>
      <c r="F14" s="47">
        <f>'CF_Аренда'!F12+'CF_Аренда'!F13</f>
        <v/>
      </c>
      <c r="G14" s="47">
        <f>'CF_Аренда'!G12+'CF_Аренда'!G13</f>
        <v/>
      </c>
      <c r="H14" s="47">
        <f>'CF_Аренда'!H12+'CF_Аренда'!H13</f>
        <v/>
      </c>
      <c r="I14" s="47">
        <f>'CF_Аренда'!I12+'CF_Аренда'!I13</f>
        <v/>
      </c>
      <c r="J14" s="47">
        <f>'CF_Аренда'!J12+'CF_Аренда'!J13</f>
        <v/>
      </c>
      <c r="K14" s="47">
        <f>'CF_Аренда'!K12+'CF_Аренда'!K13</f>
        <v/>
      </c>
      <c r="L14" s="47">
        <f>'CF_Аренда'!L12+'CF_Аренда'!L13</f>
        <v/>
      </c>
      <c r="M14" s="47">
        <f>'CF_Аренда'!M12+'CF_Аренда'!M13</f>
        <v/>
      </c>
      <c r="N14" s="47">
        <f>'CF_Аренда'!N12+'CF_Аренда'!N13</f>
        <v/>
      </c>
      <c r="O14" s="47">
        <f>'CF_Аренда'!O12+'CF_Аренда'!O13</f>
        <v/>
      </c>
      <c r="P14" s="47">
        <f>'CF_Аренда'!P12+'CF_Аренда'!P13</f>
        <v/>
      </c>
      <c r="Q14" s="47">
        <f>'CF_Аренда'!Q12+'CF_Аренда'!Q13</f>
        <v/>
      </c>
      <c r="R14" s="47">
        <f>'CF_Аренда'!R12+'CF_Аренда'!R13</f>
        <v/>
      </c>
      <c r="S14" s="47">
        <f>'CF_Аренда'!S12+'CF_Аренда'!S13</f>
        <v/>
      </c>
      <c r="T14" s="47">
        <f>'CF_Аренда'!T12+'CF_Аренда'!T13</f>
        <v/>
      </c>
      <c r="U14" s="47">
        <f>'CF_Аренда'!U12+'CF_Аренда'!U13</f>
        <v/>
      </c>
      <c r="V14" s="47">
        <f>'CF_Аренда'!V12+'CF_Аренда'!V13</f>
        <v/>
      </c>
      <c r="W14" s="47">
        <f>'CF_Аренда'!W12+'CF_Аренда'!W13</f>
        <v/>
      </c>
      <c r="X14" s="47">
        <f>'CF_Аренда'!X12+'CF_Аренда'!X13</f>
        <v/>
      </c>
      <c r="Y14" s="47">
        <f>'CF_Аренда'!Y12+'CF_Аренда'!Y13</f>
        <v/>
      </c>
      <c r="Z14" s="47">
        <f>'CF_Аренда'!Z12+'CF_Аренда'!Z13</f>
        <v/>
      </c>
      <c r="AA14" s="47">
        <f>'CF_Аренда'!AA12+'CF_Аренда'!AA13</f>
        <v/>
      </c>
      <c r="AB14" s="47">
        <f>'CF_Аренда'!AB12+'CF_Аренда'!AB13</f>
        <v/>
      </c>
      <c r="AC14" s="47">
        <f>'CF_Аренда'!AC12+'CF_Аренда'!AC13</f>
        <v/>
      </c>
      <c r="AD14" s="47">
        <f>'CF_Аренда'!AD12+'CF_Аренда'!AD13</f>
        <v/>
      </c>
      <c r="AE14" s="47">
        <f>'CF_Аренда'!AE12+'CF_Аренда'!AE13</f>
        <v/>
      </c>
      <c r="AF14" s="47">
        <f>'CF_Аренда'!AF12+'CF_Аренда'!AF13</f>
        <v/>
      </c>
      <c r="AG14" s="47">
        <f>'CF_Аренда'!AG12+'CF_Аренда'!AG13</f>
        <v/>
      </c>
      <c r="AH14" s="47">
        <f>'CF_Аренда'!AH12+'CF_Аренда'!AH13</f>
        <v/>
      </c>
      <c r="AI14" s="47">
        <f>'CF_Аренда'!AI12+'CF_Аренда'!AI13</f>
        <v/>
      </c>
      <c r="AJ14" s="47">
        <f>'CF_Аренда'!AJ12+'CF_Аренда'!AJ13</f>
        <v/>
      </c>
      <c r="AK14" s="47">
        <f>'CF_Аренда'!AK12+'CF_Аренда'!AK13</f>
        <v/>
      </c>
      <c r="AL14" s="47">
        <f>'CF_Аренда'!AL12+'CF_Аренда'!AL13</f>
        <v/>
      </c>
      <c r="AM14" s="47">
        <f>'CF_Аренда'!AM12+'CF_Аренда'!AM13</f>
        <v/>
      </c>
      <c r="AN14" s="47">
        <f>'CF_Аренда'!AN12+'CF_Аренда'!AN13</f>
        <v/>
      </c>
      <c r="AO14" s="47">
        <f>'CF_Аренда'!AO12+'CF_Аренда'!AO13</f>
        <v/>
      </c>
      <c r="AP14" s="47">
        <f>'CF_Аренда'!AP12+'CF_Аренда'!AP13</f>
        <v/>
      </c>
      <c r="AQ14" s="47">
        <f>'CF_Аренда'!AQ12+'CF_Аренда'!AQ13</f>
        <v/>
      </c>
      <c r="AR14" s="47">
        <f>'CF_Аренда'!AR12+'CF_Аренда'!AR13</f>
        <v/>
      </c>
      <c r="AS14" s="47">
        <f>'CF_Аренда'!AS12+'CF_Аренда'!AS13</f>
        <v/>
      </c>
      <c r="AT14" s="47">
        <f>'CF_Аренда'!AT12+'CF_Аренда'!AT13</f>
        <v/>
      </c>
      <c r="AU14" s="47">
        <f>'CF_Аренда'!AU12+'CF_Аренда'!AU13</f>
        <v/>
      </c>
      <c r="AV14" s="47">
        <f>'CF_Аренда'!AV12+'CF_Аренда'!AV13</f>
        <v/>
      </c>
      <c r="AW14" s="47">
        <f>'CF_Аренда'!AW12+'CF_Аренда'!AW13</f>
        <v/>
      </c>
      <c r="AX14" s="47">
        <f>'CF_Аренда'!AX12+'CF_Аренда'!AX13</f>
        <v/>
      </c>
      <c r="AY14" s="47">
        <f>'CF_Аренда'!AY12+'CF_Аренда'!AY13</f>
        <v/>
      </c>
      <c r="AZ14" s="47">
        <f>'CF_Аренда'!AZ12+'CF_Аренда'!AZ13</f>
        <v/>
      </c>
      <c r="BA14" s="47">
        <f>'CF_Аренда'!BA12+'CF_Аренда'!BA13</f>
        <v/>
      </c>
      <c r="BB14" s="47">
        <f>'CF_Аренда'!BB12+'CF_Аренда'!BB13</f>
        <v/>
      </c>
      <c r="BC14" s="47">
        <f>'CF_Аренда'!BC12+'CF_Аренда'!BC13</f>
        <v/>
      </c>
      <c r="BD14" s="47">
        <f>'CF_Аренда'!BD12+'CF_Аренда'!BD13</f>
        <v/>
      </c>
      <c r="BE14" s="47">
        <f>'CF_Аренда'!BE12+'CF_Аренда'!BE13</f>
        <v/>
      </c>
      <c r="BF14" s="47">
        <f>'CF_Аренда'!BF12+'CF_Аренда'!BF13</f>
        <v/>
      </c>
      <c r="BG14" s="47">
        <f>'CF_Аренда'!BG12+'CF_Аренда'!BG13</f>
        <v/>
      </c>
      <c r="BH14" s="47">
        <f>'CF_Аренда'!BH12+'CF_Аренда'!BH13</f>
        <v/>
      </c>
      <c r="BI14" s="47">
        <f>'CF_Аренда'!BI12+'CF_Аренда'!BI13</f>
        <v/>
      </c>
      <c r="BJ14" s="47">
        <f>'CF_Аренда'!BJ12+'CF_Аренда'!BJ13</f>
        <v/>
      </c>
      <c r="BK14" s="47">
        <f>'CF_Аренда'!BK12+'CF_Аренда'!BK13</f>
        <v/>
      </c>
      <c r="BL14" s="47">
        <f>'CF_Аренда'!BL12+'CF_Аренда'!BL13</f>
        <v/>
      </c>
      <c r="BM14" s="47">
        <f>'CF_Аренда'!BM12+'CF_Аренда'!BM13</f>
        <v/>
      </c>
      <c r="BN14" s="47">
        <f>'CF_Аренда'!BN12+'CF_Аренда'!BN13</f>
        <v/>
      </c>
      <c r="BO14" s="47">
        <f>'CF_Аренда'!BO12+'CF_Аренда'!BO13</f>
        <v/>
      </c>
      <c r="BP14" s="47">
        <f>'CF_Аренда'!BP12+'CF_Аренда'!BP13</f>
        <v/>
      </c>
      <c r="BQ14" s="47">
        <f>'CF_Аренда'!BQ12+'CF_Аренда'!BQ13</f>
        <v/>
      </c>
      <c r="BR14" s="47">
        <f>'CF_Аренда'!BR12+'CF_Аренда'!BR13</f>
        <v/>
      </c>
      <c r="BS14" s="47">
        <f>'CF_Аренда'!BS12+'CF_Аренда'!BS13</f>
        <v/>
      </c>
      <c r="BT14" s="47">
        <f>'CF_Аренда'!BT12+'CF_Аренда'!BT13</f>
        <v/>
      </c>
      <c r="BU14" s="47">
        <f>'CF_Аренда'!BU12+'CF_Аренда'!BU13</f>
        <v/>
      </c>
      <c r="BV14" s="47">
        <f>'CF_Аренда'!BV12+'CF_Аренда'!BV13</f>
        <v/>
      </c>
      <c r="BW14" s="47">
        <f>'CF_Аренда'!BW12+'CF_Аренда'!BW13</f>
        <v/>
      </c>
      <c r="BX14" s="47">
        <f>'CF_Аренда'!BX12+'CF_Аренда'!BX13</f>
        <v/>
      </c>
      <c r="BY14" s="47">
        <f>'CF_Аренда'!BY12+'CF_Аренда'!BY13</f>
        <v/>
      </c>
      <c r="BZ14" s="47">
        <f>'CF_Аренда'!BZ12+'CF_Аренда'!BZ13</f>
        <v/>
      </c>
      <c r="CA14" s="47">
        <f>'CF_Аренда'!CA12+'CF_Аренда'!CA13</f>
        <v/>
      </c>
      <c r="CB14" s="47">
        <f>'CF_Аренда'!CB12+'CF_Аренда'!CB13</f>
        <v/>
      </c>
      <c r="CC14" s="47">
        <f>'CF_Аренда'!CC12+'CF_Аренда'!CC13</f>
        <v/>
      </c>
      <c r="CD14" s="47">
        <f>'CF_Аренда'!CD12+'CF_Аренда'!CD13</f>
        <v/>
      </c>
      <c r="CE14" s="47">
        <f>'CF_Аренда'!CE12+'CF_Аренда'!CE13</f>
        <v/>
      </c>
      <c r="CF14" s="47">
        <f>'CF_Аренда'!CF12+'CF_Аренда'!CF13</f>
        <v/>
      </c>
      <c r="CG14" s="47">
        <f>'CF_Аренда'!CG12+'CF_Аренда'!CG13</f>
        <v/>
      </c>
      <c r="CH14" s="47">
        <f>'CF_Аренда'!CH12+'CF_Аренда'!CH13</f>
        <v/>
      </c>
      <c r="CI14" s="47">
        <f>'CF_Аренда'!CI12+'CF_Аренда'!CI13</f>
        <v/>
      </c>
      <c r="CJ14" s="47">
        <f>'CF_Аренда'!CJ12+'CF_Аренда'!CJ13</f>
        <v/>
      </c>
      <c r="CK14" s="47">
        <f>'CF_Аренда'!CK12+'CF_Аренда'!CK13</f>
        <v/>
      </c>
      <c r="CL14" s="47">
        <f>'CF_Аренда'!CL12+'CF_Аренда'!CL13</f>
        <v/>
      </c>
      <c r="CM14" s="47">
        <f>'CF_Аренда'!CM12+'CF_Аренда'!CM13</f>
        <v/>
      </c>
      <c r="CN14" s="47">
        <f>'CF_Аренда'!CN12+'CF_Аренда'!CN13</f>
        <v/>
      </c>
      <c r="CO14" s="47">
        <f>'CF_Аренда'!CO12+'CF_Аренда'!CO13</f>
        <v/>
      </c>
      <c r="CP14" s="47">
        <f>'CF_Аренда'!CP12+'CF_Аренда'!CP13</f>
        <v/>
      </c>
      <c r="CQ14" s="47">
        <f>'CF_Аренда'!CQ12+'CF_Аренда'!CQ13</f>
        <v/>
      </c>
      <c r="CR14" s="47">
        <f>'CF_Аренда'!CR12+'CF_Аренда'!CR13</f>
        <v/>
      </c>
      <c r="CS14" s="47">
        <f>'CF_Аренда'!CS12+'CF_Аренда'!CS13</f>
        <v/>
      </c>
      <c r="CT14" s="47">
        <f>'CF_Аренда'!CT12+'CF_Аренда'!CT13</f>
        <v/>
      </c>
      <c r="CU14" s="47">
        <f>'CF_Аренда'!CU12+'CF_Аренда'!CU13</f>
        <v/>
      </c>
      <c r="CV14" s="47">
        <f>'CF_Аренда'!CV12+'CF_Аренда'!CV13</f>
        <v/>
      </c>
      <c r="CW14" s="47">
        <f>'CF_Аренда'!CW12+'CF_Аренда'!CW13</f>
        <v/>
      </c>
      <c r="CX14" s="47">
        <f>'CF_Аренда'!CX12+'CF_Аренда'!CX13</f>
        <v/>
      </c>
      <c r="CY14" s="47">
        <f>'CF_Аренда'!CY12+'CF_Аренда'!CY13</f>
        <v/>
      </c>
      <c r="CZ14" s="47">
        <f>'CF_Аренда'!CZ12+'CF_Аренда'!CZ13</f>
        <v/>
      </c>
      <c r="DA14" s="47">
        <f>'CF_Аренда'!DA12+'CF_Аренда'!DA13</f>
        <v/>
      </c>
      <c r="DB14" s="47">
        <f>'CF_Аренда'!DB12+'CF_Аренда'!DB13</f>
        <v/>
      </c>
      <c r="DC14" s="47">
        <f>'CF_Аренда'!DC12+'CF_Аренда'!DC13</f>
        <v/>
      </c>
      <c r="DD14" s="47">
        <f>'CF_Аренда'!DD12+'CF_Аренда'!DD13</f>
        <v/>
      </c>
      <c r="DE14" s="47">
        <f>'CF_Аренда'!DE12+'CF_Аренда'!DE13</f>
        <v/>
      </c>
      <c r="DF14" s="47">
        <f>'CF_Аренда'!DF12+'CF_Аренда'!DF13</f>
        <v/>
      </c>
      <c r="DG14" s="47">
        <f>'CF_Аренда'!DG12+'CF_Аренда'!DG13</f>
        <v/>
      </c>
      <c r="DH14" s="47">
        <f>'CF_Аренда'!DH12+'CF_Аренда'!DH13</f>
        <v/>
      </c>
      <c r="DI14" s="47">
        <f>'CF_Аренда'!DI12+'CF_Аренда'!DI13</f>
        <v/>
      </c>
      <c r="DJ14" s="47">
        <f>'CF_Аренда'!DJ12+'CF_Аренда'!DJ13</f>
        <v/>
      </c>
      <c r="DK14" s="47">
        <f>'CF_Аренда'!DK12+'CF_Аренда'!DK13</f>
        <v/>
      </c>
      <c r="DL14" s="47">
        <f>'CF_Аренда'!DL12+'CF_Аренда'!DL13</f>
        <v/>
      </c>
      <c r="DM14" s="47">
        <f>'CF_Аренда'!DM12+'CF_Аренда'!DM13</f>
        <v/>
      </c>
    </row>
    <row r="16">
      <c r="A16" s="17" t="inlineStr">
        <is>
          <t>Кредит</t>
        </is>
      </c>
      <c r="B16" s="18" t="n"/>
      <c r="C16" s="18" t="n"/>
    </row>
    <row r="17">
      <c r="A17" s="36" t="inlineStr">
        <is>
          <t>Выдача</t>
        </is>
      </c>
      <c r="B17" s="40">
        <f>SUM(D17:DM17)</f>
        <v/>
      </c>
      <c r="C17" s="37" t="inlineStr">
        <is>
          <t>млн ₽</t>
        </is>
      </c>
      <c r="D17" s="47">
        <f>IF('СРОКИ'!D10&lt;='СРОКИ'!$B$6,'CAPEX'!D7*'Вводные'!$B$55,0)</f>
        <v/>
      </c>
      <c r="E17" s="47">
        <f>IF('СРОКИ'!E10&lt;='СРОКИ'!$B$6,'CAPEX'!E7*'Вводные'!$B$55,0)</f>
        <v/>
      </c>
      <c r="F17" s="47">
        <f>IF('СРОКИ'!F10&lt;='СРОКИ'!$B$6,'CAPEX'!F7*'Вводные'!$B$55,0)</f>
        <v/>
      </c>
      <c r="G17" s="47">
        <f>IF('СРОКИ'!G10&lt;='СРОКИ'!$B$6,'CAPEX'!G7*'Вводные'!$B$55,0)</f>
        <v/>
      </c>
      <c r="H17" s="47">
        <f>IF('СРОКИ'!H10&lt;='СРОКИ'!$B$6,'CAPEX'!H7*'Вводные'!$B$55,0)</f>
        <v/>
      </c>
      <c r="I17" s="47">
        <f>IF('СРОКИ'!I10&lt;='СРОКИ'!$B$6,'CAPEX'!I7*'Вводные'!$B$55,0)</f>
        <v/>
      </c>
      <c r="J17" s="47">
        <f>IF('СРОКИ'!J10&lt;='СРОКИ'!$B$6,'CAPEX'!J7*'Вводные'!$B$55,0)</f>
        <v/>
      </c>
      <c r="K17" s="47">
        <f>IF('СРОКИ'!K10&lt;='СРОКИ'!$B$6,'CAPEX'!K7*'Вводные'!$B$55,0)</f>
        <v/>
      </c>
      <c r="L17" s="47">
        <f>IF('СРОКИ'!L10&lt;='СРОКИ'!$B$6,'CAPEX'!L7*'Вводные'!$B$55,0)</f>
        <v/>
      </c>
      <c r="M17" s="47">
        <f>IF('СРОКИ'!M10&lt;='СРОКИ'!$B$6,'CAPEX'!M7*'Вводные'!$B$55,0)</f>
        <v/>
      </c>
      <c r="N17" s="47">
        <f>IF('СРОКИ'!N10&lt;='СРОКИ'!$B$6,'CAPEX'!N7*'Вводные'!$B$55,0)</f>
        <v/>
      </c>
      <c r="O17" s="47">
        <f>IF('СРОКИ'!O10&lt;='СРОКИ'!$B$6,'CAPEX'!O7*'Вводные'!$B$55,0)</f>
        <v/>
      </c>
      <c r="P17" s="47">
        <f>IF('СРОКИ'!P10&lt;='СРОКИ'!$B$6,'CAPEX'!P7*'Вводные'!$B$55,0)</f>
        <v/>
      </c>
      <c r="Q17" s="47">
        <f>IF('СРОКИ'!Q10&lt;='СРОКИ'!$B$6,'CAPEX'!Q7*'Вводные'!$B$55,0)</f>
        <v/>
      </c>
      <c r="R17" s="47">
        <f>IF('СРОКИ'!R10&lt;='СРОКИ'!$B$6,'CAPEX'!R7*'Вводные'!$B$55,0)</f>
        <v/>
      </c>
      <c r="S17" s="47">
        <f>IF('СРОКИ'!S10&lt;='СРОКИ'!$B$6,'CAPEX'!S7*'Вводные'!$B$55,0)</f>
        <v/>
      </c>
      <c r="T17" s="47">
        <f>IF('СРОКИ'!T10&lt;='СРОКИ'!$B$6,'CAPEX'!T7*'Вводные'!$B$55,0)</f>
        <v/>
      </c>
      <c r="U17" s="47">
        <f>IF('СРОКИ'!U10&lt;='СРОКИ'!$B$6,'CAPEX'!U7*'Вводные'!$B$55,0)</f>
        <v/>
      </c>
      <c r="V17" s="47">
        <f>IF('СРОКИ'!V10&lt;='СРОКИ'!$B$6,'CAPEX'!V7*'Вводные'!$B$55,0)</f>
        <v/>
      </c>
      <c r="W17" s="47">
        <f>IF('СРОКИ'!W10&lt;='СРОКИ'!$B$6,'CAPEX'!W7*'Вводные'!$B$55,0)</f>
        <v/>
      </c>
      <c r="X17" s="47">
        <f>IF('СРОКИ'!X10&lt;='СРОКИ'!$B$6,'CAPEX'!X7*'Вводные'!$B$55,0)</f>
        <v/>
      </c>
      <c r="Y17" s="47">
        <f>IF('СРОКИ'!Y10&lt;='СРОКИ'!$B$6,'CAPEX'!Y7*'Вводные'!$B$55,0)</f>
        <v/>
      </c>
      <c r="Z17" s="47">
        <f>IF('СРОКИ'!Z10&lt;='СРОКИ'!$B$6,'CAPEX'!Z7*'Вводные'!$B$55,0)</f>
        <v/>
      </c>
      <c r="AA17" s="47">
        <f>IF('СРОКИ'!AA10&lt;='СРОКИ'!$B$6,'CAPEX'!AA7*'Вводные'!$B$55,0)</f>
        <v/>
      </c>
      <c r="AB17" s="47">
        <f>IF('СРОКИ'!AB10&lt;='СРОКИ'!$B$6,'CAPEX'!AB7*'Вводные'!$B$55,0)</f>
        <v/>
      </c>
      <c r="AC17" s="47">
        <f>IF('СРОКИ'!AC10&lt;='СРОКИ'!$B$6,'CAPEX'!AC7*'Вводные'!$B$55,0)</f>
        <v/>
      </c>
      <c r="AD17" s="47">
        <f>IF('СРОКИ'!AD10&lt;='СРОКИ'!$B$6,'CAPEX'!AD7*'Вводные'!$B$55,0)</f>
        <v/>
      </c>
      <c r="AE17" s="47">
        <f>IF('СРОКИ'!AE10&lt;='СРОКИ'!$B$6,'CAPEX'!AE7*'Вводные'!$B$55,0)</f>
        <v/>
      </c>
      <c r="AF17" s="47">
        <f>IF('СРОКИ'!AF10&lt;='СРОКИ'!$B$6,'CAPEX'!AF7*'Вводные'!$B$55,0)</f>
        <v/>
      </c>
      <c r="AG17" s="47">
        <f>IF('СРОКИ'!AG10&lt;='СРОКИ'!$B$6,'CAPEX'!AG7*'Вводные'!$B$55,0)</f>
        <v/>
      </c>
      <c r="AH17" s="47">
        <f>IF('СРОКИ'!AH10&lt;='СРОКИ'!$B$6,'CAPEX'!AH7*'Вводные'!$B$55,0)</f>
        <v/>
      </c>
      <c r="AI17" s="47">
        <f>IF('СРОКИ'!AI10&lt;='СРОКИ'!$B$6,'CAPEX'!AI7*'Вводные'!$B$55,0)</f>
        <v/>
      </c>
      <c r="AJ17" s="47">
        <f>IF('СРОКИ'!AJ10&lt;='СРОКИ'!$B$6,'CAPEX'!AJ7*'Вводные'!$B$55,0)</f>
        <v/>
      </c>
      <c r="AK17" s="47">
        <f>IF('СРОКИ'!AK10&lt;='СРОКИ'!$B$6,'CAPEX'!AK7*'Вводные'!$B$55,0)</f>
        <v/>
      </c>
      <c r="AL17" s="47">
        <f>IF('СРОКИ'!AL10&lt;='СРОКИ'!$B$6,'CAPEX'!AL7*'Вводные'!$B$55,0)</f>
        <v/>
      </c>
      <c r="AM17" s="47">
        <f>IF('СРОКИ'!AM10&lt;='СРОКИ'!$B$6,'CAPEX'!AM7*'Вводные'!$B$55,0)</f>
        <v/>
      </c>
      <c r="AN17" s="47">
        <f>IF('СРОКИ'!AN10&lt;='СРОКИ'!$B$6,'CAPEX'!AN7*'Вводные'!$B$55,0)</f>
        <v/>
      </c>
      <c r="AO17" s="47">
        <f>IF('СРОКИ'!AO10&lt;='СРОКИ'!$B$6,'CAPEX'!AO7*'Вводные'!$B$55,0)</f>
        <v/>
      </c>
      <c r="AP17" s="47">
        <f>IF('СРОКИ'!AP10&lt;='СРОКИ'!$B$6,'CAPEX'!AP7*'Вводные'!$B$55,0)</f>
        <v/>
      </c>
      <c r="AQ17" s="47">
        <f>IF('СРОКИ'!AQ10&lt;='СРОКИ'!$B$6,'CAPEX'!AQ7*'Вводные'!$B$55,0)</f>
        <v/>
      </c>
      <c r="AR17" s="47">
        <f>IF('СРОКИ'!AR10&lt;='СРОКИ'!$B$6,'CAPEX'!AR7*'Вводные'!$B$55,0)</f>
        <v/>
      </c>
      <c r="AS17" s="47">
        <f>IF('СРОКИ'!AS10&lt;='СРОКИ'!$B$6,'CAPEX'!AS7*'Вводные'!$B$55,0)</f>
        <v/>
      </c>
      <c r="AT17" s="47">
        <f>IF('СРОКИ'!AT10&lt;='СРОКИ'!$B$6,'CAPEX'!AT7*'Вводные'!$B$55,0)</f>
        <v/>
      </c>
      <c r="AU17" s="47">
        <f>IF('СРОКИ'!AU10&lt;='СРОКИ'!$B$6,'CAPEX'!AU7*'Вводные'!$B$55,0)</f>
        <v/>
      </c>
      <c r="AV17" s="47">
        <f>IF('СРОКИ'!AV10&lt;='СРОКИ'!$B$6,'CAPEX'!AV7*'Вводные'!$B$55,0)</f>
        <v/>
      </c>
      <c r="AW17" s="47">
        <f>IF('СРОКИ'!AW10&lt;='СРОКИ'!$B$6,'CAPEX'!AW7*'Вводные'!$B$55,0)</f>
        <v/>
      </c>
      <c r="AX17" s="47">
        <f>IF('СРОКИ'!AX10&lt;='СРОКИ'!$B$6,'CAPEX'!AX7*'Вводные'!$B$55,0)</f>
        <v/>
      </c>
      <c r="AY17" s="47">
        <f>IF('СРОКИ'!AY10&lt;='СРОКИ'!$B$6,'CAPEX'!AY7*'Вводные'!$B$55,0)</f>
        <v/>
      </c>
      <c r="AZ17" s="47">
        <f>IF('СРОКИ'!AZ10&lt;='СРОКИ'!$B$6,'CAPEX'!AZ7*'Вводные'!$B$55,0)</f>
        <v/>
      </c>
      <c r="BA17" s="47">
        <f>IF('СРОКИ'!BA10&lt;='СРОКИ'!$B$6,'CAPEX'!BA7*'Вводные'!$B$55,0)</f>
        <v/>
      </c>
      <c r="BB17" s="47">
        <f>IF('СРОКИ'!BB10&lt;='СРОКИ'!$B$6,'CAPEX'!BB7*'Вводные'!$B$55,0)</f>
        <v/>
      </c>
      <c r="BC17" s="47">
        <f>IF('СРОКИ'!BC10&lt;='СРОКИ'!$B$6,'CAPEX'!BC7*'Вводные'!$B$55,0)</f>
        <v/>
      </c>
      <c r="BD17" s="47">
        <f>IF('СРОКИ'!BD10&lt;='СРОКИ'!$B$6,'CAPEX'!BD7*'Вводные'!$B$55,0)</f>
        <v/>
      </c>
      <c r="BE17" s="47">
        <f>IF('СРОКИ'!BE10&lt;='СРОКИ'!$B$6,'CAPEX'!BE7*'Вводные'!$B$55,0)</f>
        <v/>
      </c>
      <c r="BF17" s="47">
        <f>IF('СРОКИ'!BF10&lt;='СРОКИ'!$B$6,'CAPEX'!BF7*'Вводные'!$B$55,0)</f>
        <v/>
      </c>
      <c r="BG17" s="47">
        <f>IF('СРОКИ'!BG10&lt;='СРОКИ'!$B$6,'CAPEX'!BG7*'Вводные'!$B$55,0)</f>
        <v/>
      </c>
      <c r="BH17" s="47">
        <f>IF('СРОКИ'!BH10&lt;='СРОКИ'!$B$6,'CAPEX'!BH7*'Вводные'!$B$55,0)</f>
        <v/>
      </c>
      <c r="BI17" s="47">
        <f>IF('СРОКИ'!BI10&lt;='СРОКИ'!$B$6,'CAPEX'!BI7*'Вводные'!$B$55,0)</f>
        <v/>
      </c>
      <c r="BJ17" s="47">
        <f>IF('СРОКИ'!BJ10&lt;='СРОКИ'!$B$6,'CAPEX'!BJ7*'Вводные'!$B$55,0)</f>
        <v/>
      </c>
      <c r="BK17" s="47">
        <f>IF('СРОКИ'!BK10&lt;='СРОКИ'!$B$6,'CAPEX'!BK7*'Вводные'!$B$55,0)</f>
        <v/>
      </c>
      <c r="BL17" s="47">
        <f>IF('СРОКИ'!BL10&lt;='СРОКИ'!$B$6,'CAPEX'!BL7*'Вводные'!$B$55,0)</f>
        <v/>
      </c>
      <c r="BM17" s="47">
        <f>IF('СРОКИ'!BM10&lt;='СРОКИ'!$B$6,'CAPEX'!BM7*'Вводные'!$B$55,0)</f>
        <v/>
      </c>
      <c r="BN17" s="47">
        <f>IF('СРОКИ'!BN10&lt;='СРОКИ'!$B$6,'CAPEX'!BN7*'Вводные'!$B$55,0)</f>
        <v/>
      </c>
      <c r="BO17" s="47">
        <f>IF('СРОКИ'!BO10&lt;='СРОКИ'!$B$6,'CAPEX'!BO7*'Вводные'!$B$55,0)</f>
        <v/>
      </c>
      <c r="BP17" s="47">
        <f>IF('СРОКИ'!BP10&lt;='СРОКИ'!$B$6,'CAPEX'!BP7*'Вводные'!$B$55,0)</f>
        <v/>
      </c>
      <c r="BQ17" s="47">
        <f>IF('СРОКИ'!BQ10&lt;='СРОКИ'!$B$6,'CAPEX'!BQ7*'Вводные'!$B$55,0)</f>
        <v/>
      </c>
      <c r="BR17" s="47">
        <f>IF('СРОКИ'!BR10&lt;='СРОКИ'!$B$6,'CAPEX'!BR7*'Вводные'!$B$55,0)</f>
        <v/>
      </c>
      <c r="BS17" s="47">
        <f>IF('СРОКИ'!BS10&lt;='СРОКИ'!$B$6,'CAPEX'!BS7*'Вводные'!$B$55,0)</f>
        <v/>
      </c>
      <c r="BT17" s="47">
        <f>IF('СРОКИ'!BT10&lt;='СРОКИ'!$B$6,'CAPEX'!BT7*'Вводные'!$B$55,0)</f>
        <v/>
      </c>
      <c r="BU17" s="47">
        <f>IF('СРОКИ'!BU10&lt;='СРОКИ'!$B$6,'CAPEX'!BU7*'Вводные'!$B$55,0)</f>
        <v/>
      </c>
      <c r="BV17" s="47">
        <f>IF('СРОКИ'!BV10&lt;='СРОКИ'!$B$6,'CAPEX'!BV7*'Вводные'!$B$55,0)</f>
        <v/>
      </c>
      <c r="BW17" s="47">
        <f>IF('СРОКИ'!BW10&lt;='СРОКИ'!$B$6,'CAPEX'!BW7*'Вводные'!$B$55,0)</f>
        <v/>
      </c>
      <c r="BX17" s="47">
        <f>IF('СРОКИ'!BX10&lt;='СРОКИ'!$B$6,'CAPEX'!BX7*'Вводные'!$B$55,0)</f>
        <v/>
      </c>
      <c r="BY17" s="47">
        <f>IF('СРОКИ'!BY10&lt;='СРОКИ'!$B$6,'CAPEX'!BY7*'Вводные'!$B$55,0)</f>
        <v/>
      </c>
      <c r="BZ17" s="47">
        <f>IF('СРОКИ'!BZ10&lt;='СРОКИ'!$B$6,'CAPEX'!BZ7*'Вводные'!$B$55,0)</f>
        <v/>
      </c>
      <c r="CA17" s="47">
        <f>IF('СРОКИ'!CA10&lt;='СРОКИ'!$B$6,'CAPEX'!CA7*'Вводные'!$B$55,0)</f>
        <v/>
      </c>
      <c r="CB17" s="47">
        <f>IF('СРОКИ'!CB10&lt;='СРОКИ'!$B$6,'CAPEX'!CB7*'Вводные'!$B$55,0)</f>
        <v/>
      </c>
      <c r="CC17" s="47">
        <f>IF('СРОКИ'!CC10&lt;='СРОКИ'!$B$6,'CAPEX'!CC7*'Вводные'!$B$55,0)</f>
        <v/>
      </c>
      <c r="CD17" s="47">
        <f>IF('СРОКИ'!CD10&lt;='СРОКИ'!$B$6,'CAPEX'!CD7*'Вводные'!$B$55,0)</f>
        <v/>
      </c>
      <c r="CE17" s="47">
        <f>IF('СРОКИ'!CE10&lt;='СРОКИ'!$B$6,'CAPEX'!CE7*'Вводные'!$B$55,0)</f>
        <v/>
      </c>
      <c r="CF17" s="47">
        <f>IF('СРОКИ'!CF10&lt;='СРОКИ'!$B$6,'CAPEX'!CF7*'Вводные'!$B$55,0)</f>
        <v/>
      </c>
      <c r="CG17" s="47">
        <f>IF('СРОКИ'!CG10&lt;='СРОКИ'!$B$6,'CAPEX'!CG7*'Вводные'!$B$55,0)</f>
        <v/>
      </c>
      <c r="CH17" s="47">
        <f>IF('СРОКИ'!CH10&lt;='СРОКИ'!$B$6,'CAPEX'!CH7*'Вводные'!$B$55,0)</f>
        <v/>
      </c>
      <c r="CI17" s="47">
        <f>IF('СРОКИ'!CI10&lt;='СРОКИ'!$B$6,'CAPEX'!CI7*'Вводные'!$B$55,0)</f>
        <v/>
      </c>
      <c r="CJ17" s="47">
        <f>IF('СРОКИ'!CJ10&lt;='СРОКИ'!$B$6,'CAPEX'!CJ7*'Вводные'!$B$55,0)</f>
        <v/>
      </c>
      <c r="CK17" s="47">
        <f>IF('СРОКИ'!CK10&lt;='СРОКИ'!$B$6,'CAPEX'!CK7*'Вводные'!$B$55,0)</f>
        <v/>
      </c>
      <c r="CL17" s="47">
        <f>IF('СРОКИ'!CL10&lt;='СРОКИ'!$B$6,'CAPEX'!CL7*'Вводные'!$B$55,0)</f>
        <v/>
      </c>
      <c r="CM17" s="47">
        <f>IF('СРОКИ'!CM10&lt;='СРОКИ'!$B$6,'CAPEX'!CM7*'Вводные'!$B$55,0)</f>
        <v/>
      </c>
      <c r="CN17" s="47">
        <f>IF('СРОКИ'!CN10&lt;='СРОКИ'!$B$6,'CAPEX'!CN7*'Вводные'!$B$55,0)</f>
        <v/>
      </c>
      <c r="CO17" s="47">
        <f>IF('СРОКИ'!CO10&lt;='СРОКИ'!$B$6,'CAPEX'!CO7*'Вводные'!$B$55,0)</f>
        <v/>
      </c>
      <c r="CP17" s="47">
        <f>IF('СРОКИ'!CP10&lt;='СРОКИ'!$B$6,'CAPEX'!CP7*'Вводные'!$B$55,0)</f>
        <v/>
      </c>
      <c r="CQ17" s="47">
        <f>IF('СРОКИ'!CQ10&lt;='СРОКИ'!$B$6,'CAPEX'!CQ7*'Вводные'!$B$55,0)</f>
        <v/>
      </c>
      <c r="CR17" s="47">
        <f>IF('СРОКИ'!CR10&lt;='СРОКИ'!$B$6,'CAPEX'!CR7*'Вводные'!$B$55,0)</f>
        <v/>
      </c>
      <c r="CS17" s="47">
        <f>IF('СРОКИ'!CS10&lt;='СРОКИ'!$B$6,'CAPEX'!CS7*'Вводные'!$B$55,0)</f>
        <v/>
      </c>
      <c r="CT17" s="47">
        <f>IF('СРОКИ'!CT10&lt;='СРОКИ'!$B$6,'CAPEX'!CT7*'Вводные'!$B$55,0)</f>
        <v/>
      </c>
      <c r="CU17" s="47">
        <f>IF('СРОКИ'!CU10&lt;='СРОКИ'!$B$6,'CAPEX'!CU7*'Вводные'!$B$55,0)</f>
        <v/>
      </c>
      <c r="CV17" s="47">
        <f>IF('СРОКИ'!CV10&lt;='СРОКИ'!$B$6,'CAPEX'!CV7*'Вводные'!$B$55,0)</f>
        <v/>
      </c>
      <c r="CW17" s="47">
        <f>IF('СРОКИ'!CW10&lt;='СРОКИ'!$B$6,'CAPEX'!CW7*'Вводные'!$B$55,0)</f>
        <v/>
      </c>
      <c r="CX17" s="47">
        <f>IF('СРОКИ'!CX10&lt;='СРОКИ'!$B$6,'CAPEX'!CX7*'Вводные'!$B$55,0)</f>
        <v/>
      </c>
      <c r="CY17" s="47">
        <f>IF('СРОКИ'!CY10&lt;='СРОКИ'!$B$6,'CAPEX'!CY7*'Вводные'!$B$55,0)</f>
        <v/>
      </c>
      <c r="CZ17" s="47">
        <f>IF('СРОКИ'!CZ10&lt;='СРОКИ'!$B$6,'CAPEX'!CZ7*'Вводные'!$B$55,0)</f>
        <v/>
      </c>
      <c r="DA17" s="47">
        <f>IF('СРОКИ'!DA10&lt;='СРОКИ'!$B$6,'CAPEX'!DA7*'Вводные'!$B$55,0)</f>
        <v/>
      </c>
      <c r="DB17" s="47">
        <f>IF('СРОКИ'!DB10&lt;='СРОКИ'!$B$6,'CAPEX'!DB7*'Вводные'!$B$55,0)</f>
        <v/>
      </c>
      <c r="DC17" s="47">
        <f>IF('СРОКИ'!DC10&lt;='СРОКИ'!$B$6,'CAPEX'!DC7*'Вводные'!$B$55,0)</f>
        <v/>
      </c>
      <c r="DD17" s="47">
        <f>IF('СРОКИ'!DD10&lt;='СРОКИ'!$B$6,'CAPEX'!DD7*'Вводные'!$B$55,0)</f>
        <v/>
      </c>
      <c r="DE17" s="47">
        <f>IF('СРОКИ'!DE10&lt;='СРОКИ'!$B$6,'CAPEX'!DE7*'Вводные'!$B$55,0)</f>
        <v/>
      </c>
      <c r="DF17" s="47">
        <f>IF('СРОКИ'!DF10&lt;='СРОКИ'!$B$6,'CAPEX'!DF7*'Вводные'!$B$55,0)</f>
        <v/>
      </c>
      <c r="DG17" s="47">
        <f>IF('СРОКИ'!DG10&lt;='СРОКИ'!$B$6,'CAPEX'!DG7*'Вводные'!$B$55,0)</f>
        <v/>
      </c>
      <c r="DH17" s="47">
        <f>IF('СРОКИ'!DH10&lt;='СРОКИ'!$B$6,'CAPEX'!DH7*'Вводные'!$B$55,0)</f>
        <v/>
      </c>
      <c r="DI17" s="47">
        <f>IF('СРОКИ'!DI10&lt;='СРОКИ'!$B$6,'CAPEX'!DI7*'Вводные'!$B$55,0)</f>
        <v/>
      </c>
      <c r="DJ17" s="47">
        <f>IF('СРОКИ'!DJ10&lt;='СРОКИ'!$B$6,'CAPEX'!DJ7*'Вводные'!$B$55,0)</f>
        <v/>
      </c>
      <c r="DK17" s="47">
        <f>IF('СРОКИ'!DK10&lt;='СРОКИ'!$B$6,'CAPEX'!DK7*'Вводные'!$B$55,0)</f>
        <v/>
      </c>
      <c r="DL17" s="47">
        <f>IF('СРОКИ'!DL10&lt;='СРОКИ'!$B$6,'CAPEX'!DL7*'Вводные'!$B$55,0)</f>
        <v/>
      </c>
      <c r="DM17" s="47">
        <f>IF('СРОКИ'!DM10&lt;='СРОКИ'!$B$6,'CAPEX'!DM7*'Вводные'!$B$55,0)</f>
        <v/>
      </c>
    </row>
    <row r="18">
      <c r="A18" s="36" t="inlineStr">
        <is>
          <t>Проценты месяца</t>
        </is>
      </c>
      <c r="B18" s="40">
        <f>SUM(D18:DM18)</f>
        <v/>
      </c>
      <c r="C18" s="37" t="inlineStr">
        <is>
          <t>млн ₽</t>
        </is>
      </c>
      <c r="D18" s="47">
        <f>0</f>
        <v/>
      </c>
      <c r="E18" s="47">
        <f>'CF_Аренда'!D30*'Ставки'!E6/12</f>
        <v/>
      </c>
      <c r="F18" s="47">
        <f>'CF_Аренда'!E30*'Ставки'!F6/12</f>
        <v/>
      </c>
      <c r="G18" s="47">
        <f>'CF_Аренда'!F30*'Ставки'!G6/12</f>
        <v/>
      </c>
      <c r="H18" s="47">
        <f>'CF_Аренда'!G30*'Ставки'!H6/12</f>
        <v/>
      </c>
      <c r="I18" s="47">
        <f>'CF_Аренда'!H30*'Ставки'!I6/12</f>
        <v/>
      </c>
      <c r="J18" s="47">
        <f>'CF_Аренда'!I30*'Ставки'!J6/12</f>
        <v/>
      </c>
      <c r="K18" s="47">
        <f>'CF_Аренда'!J30*'Ставки'!K6/12</f>
        <v/>
      </c>
      <c r="L18" s="47">
        <f>'CF_Аренда'!K30*'Ставки'!L6/12</f>
        <v/>
      </c>
      <c r="M18" s="47">
        <f>'CF_Аренда'!L30*'Ставки'!M6/12</f>
        <v/>
      </c>
      <c r="N18" s="47">
        <f>'CF_Аренда'!M30*'Ставки'!N6/12</f>
        <v/>
      </c>
      <c r="O18" s="47">
        <f>'CF_Аренда'!N30*'Ставки'!O6/12</f>
        <v/>
      </c>
      <c r="P18" s="47">
        <f>'CF_Аренда'!O30*'Ставки'!P6/12</f>
        <v/>
      </c>
      <c r="Q18" s="47">
        <f>'CF_Аренда'!P30*'Ставки'!Q6/12</f>
        <v/>
      </c>
      <c r="R18" s="47">
        <f>'CF_Аренда'!Q30*'Ставки'!R6/12</f>
        <v/>
      </c>
      <c r="S18" s="47">
        <f>'CF_Аренда'!R30*'Ставки'!S6/12</f>
        <v/>
      </c>
      <c r="T18" s="47">
        <f>'CF_Аренда'!S30*'Ставки'!T6/12</f>
        <v/>
      </c>
      <c r="U18" s="47">
        <f>'CF_Аренда'!T30*'Ставки'!U6/12</f>
        <v/>
      </c>
      <c r="V18" s="47">
        <f>'CF_Аренда'!U30*'Ставки'!V6/12</f>
        <v/>
      </c>
      <c r="W18" s="47">
        <f>'CF_Аренда'!V30*'Ставки'!W6/12</f>
        <v/>
      </c>
      <c r="X18" s="47">
        <f>'CF_Аренда'!W30*'Ставки'!X6/12</f>
        <v/>
      </c>
      <c r="Y18" s="47">
        <f>'CF_Аренда'!X30*'Ставки'!Y6/12</f>
        <v/>
      </c>
      <c r="Z18" s="47">
        <f>'CF_Аренда'!Y30*'Ставки'!Z6/12</f>
        <v/>
      </c>
      <c r="AA18" s="47">
        <f>'CF_Аренда'!Z30*'Ставки'!AA6/12</f>
        <v/>
      </c>
      <c r="AB18" s="47">
        <f>'CF_Аренда'!AA30*'Ставки'!AB6/12</f>
        <v/>
      </c>
      <c r="AC18" s="47">
        <f>'CF_Аренда'!AB30*'Ставки'!AC6/12</f>
        <v/>
      </c>
      <c r="AD18" s="47">
        <f>'CF_Аренда'!AC30*'Ставки'!AD6/12</f>
        <v/>
      </c>
      <c r="AE18" s="47">
        <f>'CF_Аренда'!AD30*'Ставки'!AE6/12</f>
        <v/>
      </c>
      <c r="AF18" s="47">
        <f>'CF_Аренда'!AE30*'Ставки'!AF6/12</f>
        <v/>
      </c>
      <c r="AG18" s="47">
        <f>'CF_Аренда'!AF30*'Ставки'!AG6/12</f>
        <v/>
      </c>
      <c r="AH18" s="47">
        <f>'CF_Аренда'!AG30*'Ставки'!AH6/12</f>
        <v/>
      </c>
      <c r="AI18" s="47">
        <f>'CF_Аренда'!AH30*'Ставки'!AI6/12</f>
        <v/>
      </c>
      <c r="AJ18" s="47">
        <f>'CF_Аренда'!AI30*'Ставки'!AJ6/12</f>
        <v/>
      </c>
      <c r="AK18" s="47">
        <f>'CF_Аренда'!AJ30*'Ставки'!AK6/12</f>
        <v/>
      </c>
      <c r="AL18" s="47">
        <f>'CF_Аренда'!AK30*'Ставки'!AL6/12</f>
        <v/>
      </c>
      <c r="AM18" s="47">
        <f>'CF_Аренда'!AL30*'Ставки'!AM6/12</f>
        <v/>
      </c>
      <c r="AN18" s="47">
        <f>'CF_Аренда'!AM30*'Ставки'!AN6/12</f>
        <v/>
      </c>
      <c r="AO18" s="47">
        <f>'CF_Аренда'!AN30*'Ставки'!AO6/12</f>
        <v/>
      </c>
      <c r="AP18" s="47">
        <f>'CF_Аренда'!AO30*'Ставки'!AP6/12</f>
        <v/>
      </c>
      <c r="AQ18" s="47">
        <f>'CF_Аренда'!AP30*'Ставки'!AQ6/12</f>
        <v/>
      </c>
      <c r="AR18" s="47">
        <f>'CF_Аренда'!AQ30*'Ставки'!AR6/12</f>
        <v/>
      </c>
      <c r="AS18" s="47">
        <f>'CF_Аренда'!AR30*'Ставки'!AS6/12</f>
        <v/>
      </c>
      <c r="AT18" s="47">
        <f>'CF_Аренда'!AS30*'Ставки'!AT6/12</f>
        <v/>
      </c>
      <c r="AU18" s="47">
        <f>'CF_Аренда'!AT30*'Ставки'!AU6/12</f>
        <v/>
      </c>
      <c r="AV18" s="47">
        <f>'CF_Аренда'!AU30*'Ставки'!AV6/12</f>
        <v/>
      </c>
      <c r="AW18" s="47">
        <f>'CF_Аренда'!AV30*'Ставки'!AW6/12</f>
        <v/>
      </c>
      <c r="AX18" s="47">
        <f>'CF_Аренда'!AW30*'Ставки'!AX6/12</f>
        <v/>
      </c>
      <c r="AY18" s="47">
        <f>'CF_Аренда'!AX30*'Ставки'!AY6/12</f>
        <v/>
      </c>
      <c r="AZ18" s="47">
        <f>'CF_Аренда'!AY30*'Ставки'!AZ6/12</f>
        <v/>
      </c>
      <c r="BA18" s="47">
        <f>'CF_Аренда'!AZ30*'Ставки'!BA6/12</f>
        <v/>
      </c>
      <c r="BB18" s="47">
        <f>'CF_Аренда'!BA30*'Ставки'!BB6/12</f>
        <v/>
      </c>
      <c r="BC18" s="47">
        <f>'CF_Аренда'!BB30*'Ставки'!BC6/12</f>
        <v/>
      </c>
      <c r="BD18" s="47">
        <f>'CF_Аренда'!BC30*'Ставки'!BD6/12</f>
        <v/>
      </c>
      <c r="BE18" s="47">
        <f>'CF_Аренда'!BD30*'Ставки'!BE6/12</f>
        <v/>
      </c>
      <c r="BF18" s="47">
        <f>'CF_Аренда'!BE30*'Ставки'!BF6/12</f>
        <v/>
      </c>
      <c r="BG18" s="47">
        <f>'CF_Аренда'!BF30*'Ставки'!BG6/12</f>
        <v/>
      </c>
      <c r="BH18" s="47">
        <f>'CF_Аренда'!BG30*'Ставки'!BH6/12</f>
        <v/>
      </c>
      <c r="BI18" s="47">
        <f>'CF_Аренда'!BH30*'Ставки'!BI6/12</f>
        <v/>
      </c>
      <c r="BJ18" s="47">
        <f>'CF_Аренда'!BI30*'Ставки'!BJ6/12</f>
        <v/>
      </c>
      <c r="BK18" s="47">
        <f>'CF_Аренда'!BJ30*'Ставки'!BK6/12</f>
        <v/>
      </c>
      <c r="BL18" s="47">
        <f>'CF_Аренда'!BK30*'Ставки'!BL6/12</f>
        <v/>
      </c>
      <c r="BM18" s="47">
        <f>'CF_Аренда'!BL30*'Ставки'!BM6/12</f>
        <v/>
      </c>
      <c r="BN18" s="47">
        <f>'CF_Аренда'!BM30*'Ставки'!BN6/12</f>
        <v/>
      </c>
      <c r="BO18" s="47">
        <f>'CF_Аренда'!BN30*'Ставки'!BO6/12</f>
        <v/>
      </c>
      <c r="BP18" s="47">
        <f>'CF_Аренда'!BO30*'Ставки'!BP6/12</f>
        <v/>
      </c>
      <c r="BQ18" s="47">
        <f>'CF_Аренда'!BP30*'Ставки'!BQ6/12</f>
        <v/>
      </c>
      <c r="BR18" s="47">
        <f>'CF_Аренда'!BQ30*'Ставки'!BR6/12</f>
        <v/>
      </c>
      <c r="BS18" s="47">
        <f>'CF_Аренда'!BR30*'Ставки'!BS6/12</f>
        <v/>
      </c>
      <c r="BT18" s="47">
        <f>'CF_Аренда'!BS30*'Ставки'!BT6/12</f>
        <v/>
      </c>
      <c r="BU18" s="47">
        <f>'CF_Аренда'!BT30*'Ставки'!BU6/12</f>
        <v/>
      </c>
      <c r="BV18" s="47">
        <f>'CF_Аренда'!BU30*'Ставки'!BV6/12</f>
        <v/>
      </c>
      <c r="BW18" s="47">
        <f>'CF_Аренда'!BV30*'Ставки'!BW6/12</f>
        <v/>
      </c>
      <c r="BX18" s="47">
        <f>'CF_Аренда'!BW30*'Ставки'!BX6/12</f>
        <v/>
      </c>
      <c r="BY18" s="47">
        <f>'CF_Аренда'!BX30*'Ставки'!BY6/12</f>
        <v/>
      </c>
      <c r="BZ18" s="47">
        <f>'CF_Аренда'!BY30*'Ставки'!BZ6/12</f>
        <v/>
      </c>
      <c r="CA18" s="47">
        <f>'CF_Аренда'!BZ30*'Ставки'!CA6/12</f>
        <v/>
      </c>
      <c r="CB18" s="47">
        <f>'CF_Аренда'!CA30*'Ставки'!CB6/12</f>
        <v/>
      </c>
      <c r="CC18" s="47">
        <f>'CF_Аренда'!CB30*'Ставки'!CC6/12</f>
        <v/>
      </c>
      <c r="CD18" s="47">
        <f>'CF_Аренда'!CC30*'Ставки'!CD6/12</f>
        <v/>
      </c>
      <c r="CE18" s="47">
        <f>'CF_Аренда'!CD30*'Ставки'!CE6/12</f>
        <v/>
      </c>
      <c r="CF18" s="47">
        <f>'CF_Аренда'!CE30*'Ставки'!CF6/12</f>
        <v/>
      </c>
      <c r="CG18" s="47">
        <f>'CF_Аренда'!CF30*'Ставки'!CG6/12</f>
        <v/>
      </c>
      <c r="CH18" s="47">
        <f>'CF_Аренда'!CG30*'Ставки'!CH6/12</f>
        <v/>
      </c>
      <c r="CI18" s="47">
        <f>'CF_Аренда'!CH30*'Ставки'!CI6/12</f>
        <v/>
      </c>
      <c r="CJ18" s="47">
        <f>'CF_Аренда'!CI30*'Ставки'!CJ6/12</f>
        <v/>
      </c>
      <c r="CK18" s="47">
        <f>'CF_Аренда'!CJ30*'Ставки'!CK6/12</f>
        <v/>
      </c>
      <c r="CL18" s="47">
        <f>'CF_Аренда'!CK30*'Ставки'!CL6/12</f>
        <v/>
      </c>
      <c r="CM18" s="47">
        <f>'CF_Аренда'!CL30*'Ставки'!CM6/12</f>
        <v/>
      </c>
      <c r="CN18" s="47">
        <f>'CF_Аренда'!CM30*'Ставки'!CN6/12</f>
        <v/>
      </c>
      <c r="CO18" s="47">
        <f>'CF_Аренда'!CN30*'Ставки'!CO6/12</f>
        <v/>
      </c>
      <c r="CP18" s="47">
        <f>'CF_Аренда'!CO30*'Ставки'!CP6/12</f>
        <v/>
      </c>
      <c r="CQ18" s="47">
        <f>'CF_Аренда'!CP30*'Ставки'!CQ6/12</f>
        <v/>
      </c>
      <c r="CR18" s="47">
        <f>'CF_Аренда'!CQ30*'Ставки'!CR6/12</f>
        <v/>
      </c>
      <c r="CS18" s="47">
        <f>'CF_Аренда'!CR30*'Ставки'!CS6/12</f>
        <v/>
      </c>
      <c r="CT18" s="47">
        <f>'CF_Аренда'!CS30*'Ставки'!CT6/12</f>
        <v/>
      </c>
      <c r="CU18" s="47">
        <f>'CF_Аренда'!CT30*'Ставки'!CU6/12</f>
        <v/>
      </c>
      <c r="CV18" s="47">
        <f>'CF_Аренда'!CU30*'Ставки'!CV6/12</f>
        <v/>
      </c>
      <c r="CW18" s="47">
        <f>'CF_Аренда'!CV30*'Ставки'!CW6/12</f>
        <v/>
      </c>
      <c r="CX18" s="47">
        <f>'CF_Аренда'!CW30*'Ставки'!CX6/12</f>
        <v/>
      </c>
      <c r="CY18" s="47">
        <f>'CF_Аренда'!CX30*'Ставки'!CY6/12</f>
        <v/>
      </c>
      <c r="CZ18" s="47">
        <f>'CF_Аренда'!CY30*'Ставки'!CZ6/12</f>
        <v/>
      </c>
      <c r="DA18" s="47">
        <f>'CF_Аренда'!CZ30*'Ставки'!DA6/12</f>
        <v/>
      </c>
      <c r="DB18" s="47">
        <f>'CF_Аренда'!DA30*'Ставки'!DB6/12</f>
        <v/>
      </c>
      <c r="DC18" s="47">
        <f>'CF_Аренда'!DB30*'Ставки'!DC6/12</f>
        <v/>
      </c>
      <c r="DD18" s="47">
        <f>'CF_Аренда'!DC30*'Ставки'!DD6/12</f>
        <v/>
      </c>
      <c r="DE18" s="47">
        <f>'CF_Аренда'!DD30*'Ставки'!DE6/12</f>
        <v/>
      </c>
      <c r="DF18" s="47">
        <f>'CF_Аренда'!DE30*'Ставки'!DF6/12</f>
        <v/>
      </c>
      <c r="DG18" s="47">
        <f>'CF_Аренда'!DF30*'Ставки'!DG6/12</f>
        <v/>
      </c>
      <c r="DH18" s="47">
        <f>'CF_Аренда'!DG30*'Ставки'!DH6/12</f>
        <v/>
      </c>
      <c r="DI18" s="47">
        <f>'CF_Аренда'!DH30*'Ставки'!DI6/12</f>
        <v/>
      </c>
      <c r="DJ18" s="47">
        <f>'CF_Аренда'!DI30*'Ставки'!DJ6/12</f>
        <v/>
      </c>
      <c r="DK18" s="47">
        <f>'CF_Аренда'!DJ30*'Ставки'!DK6/12</f>
        <v/>
      </c>
      <c r="DL18" s="47">
        <f>'CF_Аренда'!DK30*'Ставки'!DL6/12</f>
        <v/>
      </c>
      <c r="DM18" s="47">
        <f>'CF_Аренда'!DL30*'Ставки'!DM6/12</f>
        <v/>
      </c>
    </row>
    <row r="19">
      <c r="A19" s="36" t="inlineStr">
        <is>
          <t>Проценты капитализированы (до ввода)</t>
        </is>
      </c>
      <c r="B19" s="40">
        <f>SUM(D19:DM19)</f>
        <v/>
      </c>
      <c r="C19" s="37" t="inlineStr">
        <is>
          <t>млн ₽</t>
        </is>
      </c>
      <c r="D19" s="47">
        <f>IF('СРОКИ'!D10&lt;'СРОКИ'!$B$6,'CF_Аренда'!D18,0)</f>
        <v/>
      </c>
      <c r="E19" s="47">
        <f>IF('СРОКИ'!E10&lt;'СРОКИ'!$B$6,'CF_Аренда'!E18,0)</f>
        <v/>
      </c>
      <c r="F19" s="47">
        <f>IF('СРОКИ'!F10&lt;'СРОКИ'!$B$6,'CF_Аренда'!F18,0)</f>
        <v/>
      </c>
      <c r="G19" s="47">
        <f>IF('СРОКИ'!G10&lt;'СРОКИ'!$B$6,'CF_Аренда'!G18,0)</f>
        <v/>
      </c>
      <c r="H19" s="47">
        <f>IF('СРОКИ'!H10&lt;'СРОКИ'!$B$6,'CF_Аренда'!H18,0)</f>
        <v/>
      </c>
      <c r="I19" s="47">
        <f>IF('СРОКИ'!I10&lt;'СРОКИ'!$B$6,'CF_Аренда'!I18,0)</f>
        <v/>
      </c>
      <c r="J19" s="47">
        <f>IF('СРОКИ'!J10&lt;'СРОКИ'!$B$6,'CF_Аренда'!J18,0)</f>
        <v/>
      </c>
      <c r="K19" s="47">
        <f>IF('СРОКИ'!K10&lt;'СРОКИ'!$B$6,'CF_Аренда'!K18,0)</f>
        <v/>
      </c>
      <c r="L19" s="47">
        <f>IF('СРОКИ'!L10&lt;'СРОКИ'!$B$6,'CF_Аренда'!L18,0)</f>
        <v/>
      </c>
      <c r="M19" s="47">
        <f>IF('СРОКИ'!M10&lt;'СРОКИ'!$B$6,'CF_Аренда'!M18,0)</f>
        <v/>
      </c>
      <c r="N19" s="47">
        <f>IF('СРОКИ'!N10&lt;'СРОКИ'!$B$6,'CF_Аренда'!N18,0)</f>
        <v/>
      </c>
      <c r="O19" s="47">
        <f>IF('СРОКИ'!O10&lt;'СРОКИ'!$B$6,'CF_Аренда'!O18,0)</f>
        <v/>
      </c>
      <c r="P19" s="47">
        <f>IF('СРОКИ'!P10&lt;'СРОКИ'!$B$6,'CF_Аренда'!P18,0)</f>
        <v/>
      </c>
      <c r="Q19" s="47">
        <f>IF('СРОКИ'!Q10&lt;'СРОКИ'!$B$6,'CF_Аренда'!Q18,0)</f>
        <v/>
      </c>
      <c r="R19" s="47">
        <f>IF('СРОКИ'!R10&lt;'СРОКИ'!$B$6,'CF_Аренда'!R18,0)</f>
        <v/>
      </c>
      <c r="S19" s="47">
        <f>IF('СРОКИ'!S10&lt;'СРОКИ'!$B$6,'CF_Аренда'!S18,0)</f>
        <v/>
      </c>
      <c r="T19" s="47">
        <f>IF('СРОКИ'!T10&lt;'СРОКИ'!$B$6,'CF_Аренда'!T18,0)</f>
        <v/>
      </c>
      <c r="U19" s="47">
        <f>IF('СРОКИ'!U10&lt;'СРОКИ'!$B$6,'CF_Аренда'!U18,0)</f>
        <v/>
      </c>
      <c r="V19" s="47">
        <f>IF('СРОКИ'!V10&lt;'СРОКИ'!$B$6,'CF_Аренда'!V18,0)</f>
        <v/>
      </c>
      <c r="W19" s="47">
        <f>IF('СРОКИ'!W10&lt;'СРОКИ'!$B$6,'CF_Аренда'!W18,0)</f>
        <v/>
      </c>
      <c r="X19" s="47">
        <f>IF('СРОКИ'!X10&lt;'СРОКИ'!$B$6,'CF_Аренда'!X18,0)</f>
        <v/>
      </c>
      <c r="Y19" s="47">
        <f>IF('СРОКИ'!Y10&lt;'СРОКИ'!$B$6,'CF_Аренда'!Y18,0)</f>
        <v/>
      </c>
      <c r="Z19" s="47">
        <f>IF('СРОКИ'!Z10&lt;'СРОКИ'!$B$6,'CF_Аренда'!Z18,0)</f>
        <v/>
      </c>
      <c r="AA19" s="47">
        <f>IF('СРОКИ'!AA10&lt;'СРОКИ'!$B$6,'CF_Аренда'!AA18,0)</f>
        <v/>
      </c>
      <c r="AB19" s="47">
        <f>IF('СРОКИ'!AB10&lt;'СРОКИ'!$B$6,'CF_Аренда'!AB18,0)</f>
        <v/>
      </c>
      <c r="AC19" s="47">
        <f>IF('СРОКИ'!AC10&lt;'СРОКИ'!$B$6,'CF_Аренда'!AC18,0)</f>
        <v/>
      </c>
      <c r="AD19" s="47">
        <f>IF('СРОКИ'!AD10&lt;'СРОКИ'!$B$6,'CF_Аренда'!AD18,0)</f>
        <v/>
      </c>
      <c r="AE19" s="47">
        <f>IF('СРОКИ'!AE10&lt;'СРОКИ'!$B$6,'CF_Аренда'!AE18,0)</f>
        <v/>
      </c>
      <c r="AF19" s="47">
        <f>IF('СРОКИ'!AF10&lt;'СРОКИ'!$B$6,'CF_Аренда'!AF18,0)</f>
        <v/>
      </c>
      <c r="AG19" s="47">
        <f>IF('СРОКИ'!AG10&lt;'СРОКИ'!$B$6,'CF_Аренда'!AG18,0)</f>
        <v/>
      </c>
      <c r="AH19" s="47">
        <f>IF('СРОКИ'!AH10&lt;'СРОКИ'!$B$6,'CF_Аренда'!AH18,0)</f>
        <v/>
      </c>
      <c r="AI19" s="47">
        <f>IF('СРОКИ'!AI10&lt;'СРОКИ'!$B$6,'CF_Аренда'!AI18,0)</f>
        <v/>
      </c>
      <c r="AJ19" s="47">
        <f>IF('СРОКИ'!AJ10&lt;'СРОКИ'!$B$6,'CF_Аренда'!AJ18,0)</f>
        <v/>
      </c>
      <c r="AK19" s="47">
        <f>IF('СРОКИ'!AK10&lt;'СРОКИ'!$B$6,'CF_Аренда'!AK18,0)</f>
        <v/>
      </c>
      <c r="AL19" s="47">
        <f>IF('СРОКИ'!AL10&lt;'СРОКИ'!$B$6,'CF_Аренда'!AL18,0)</f>
        <v/>
      </c>
      <c r="AM19" s="47">
        <f>IF('СРОКИ'!AM10&lt;'СРОКИ'!$B$6,'CF_Аренда'!AM18,0)</f>
        <v/>
      </c>
      <c r="AN19" s="47">
        <f>IF('СРОКИ'!AN10&lt;'СРОКИ'!$B$6,'CF_Аренда'!AN18,0)</f>
        <v/>
      </c>
      <c r="AO19" s="47">
        <f>IF('СРОКИ'!AO10&lt;'СРОКИ'!$B$6,'CF_Аренда'!AO18,0)</f>
        <v/>
      </c>
      <c r="AP19" s="47">
        <f>IF('СРОКИ'!AP10&lt;'СРОКИ'!$B$6,'CF_Аренда'!AP18,0)</f>
        <v/>
      </c>
      <c r="AQ19" s="47">
        <f>IF('СРОКИ'!AQ10&lt;'СРОКИ'!$B$6,'CF_Аренда'!AQ18,0)</f>
        <v/>
      </c>
      <c r="AR19" s="47">
        <f>IF('СРОКИ'!AR10&lt;'СРОКИ'!$B$6,'CF_Аренда'!AR18,0)</f>
        <v/>
      </c>
      <c r="AS19" s="47">
        <f>IF('СРОКИ'!AS10&lt;'СРОКИ'!$B$6,'CF_Аренда'!AS18,0)</f>
        <v/>
      </c>
      <c r="AT19" s="47">
        <f>IF('СРОКИ'!AT10&lt;'СРОКИ'!$B$6,'CF_Аренда'!AT18,0)</f>
        <v/>
      </c>
      <c r="AU19" s="47">
        <f>IF('СРОКИ'!AU10&lt;'СРОКИ'!$B$6,'CF_Аренда'!AU18,0)</f>
        <v/>
      </c>
      <c r="AV19" s="47">
        <f>IF('СРОКИ'!AV10&lt;'СРОКИ'!$B$6,'CF_Аренда'!AV18,0)</f>
        <v/>
      </c>
      <c r="AW19" s="47">
        <f>IF('СРОКИ'!AW10&lt;'СРОКИ'!$B$6,'CF_Аренда'!AW18,0)</f>
        <v/>
      </c>
      <c r="AX19" s="47">
        <f>IF('СРОКИ'!AX10&lt;'СРОКИ'!$B$6,'CF_Аренда'!AX18,0)</f>
        <v/>
      </c>
      <c r="AY19" s="47">
        <f>IF('СРОКИ'!AY10&lt;'СРОКИ'!$B$6,'CF_Аренда'!AY18,0)</f>
        <v/>
      </c>
      <c r="AZ19" s="47">
        <f>IF('СРОКИ'!AZ10&lt;'СРОКИ'!$B$6,'CF_Аренда'!AZ18,0)</f>
        <v/>
      </c>
      <c r="BA19" s="47">
        <f>IF('СРОКИ'!BA10&lt;'СРОКИ'!$B$6,'CF_Аренда'!BA18,0)</f>
        <v/>
      </c>
      <c r="BB19" s="47">
        <f>IF('СРОКИ'!BB10&lt;'СРОКИ'!$B$6,'CF_Аренда'!BB18,0)</f>
        <v/>
      </c>
      <c r="BC19" s="47">
        <f>IF('СРОКИ'!BC10&lt;'СРОКИ'!$B$6,'CF_Аренда'!BC18,0)</f>
        <v/>
      </c>
      <c r="BD19" s="47">
        <f>IF('СРОКИ'!BD10&lt;'СРОКИ'!$B$6,'CF_Аренда'!BD18,0)</f>
        <v/>
      </c>
      <c r="BE19" s="47">
        <f>IF('СРОКИ'!BE10&lt;'СРОКИ'!$B$6,'CF_Аренда'!BE18,0)</f>
        <v/>
      </c>
      <c r="BF19" s="47">
        <f>IF('СРОКИ'!BF10&lt;'СРОКИ'!$B$6,'CF_Аренда'!BF18,0)</f>
        <v/>
      </c>
      <c r="BG19" s="47">
        <f>IF('СРОКИ'!BG10&lt;'СРОКИ'!$B$6,'CF_Аренда'!BG18,0)</f>
        <v/>
      </c>
      <c r="BH19" s="47">
        <f>IF('СРОКИ'!BH10&lt;'СРОКИ'!$B$6,'CF_Аренда'!BH18,0)</f>
        <v/>
      </c>
      <c r="BI19" s="47">
        <f>IF('СРОКИ'!BI10&lt;'СРОКИ'!$B$6,'CF_Аренда'!BI18,0)</f>
        <v/>
      </c>
      <c r="BJ19" s="47">
        <f>IF('СРОКИ'!BJ10&lt;'СРОКИ'!$B$6,'CF_Аренда'!BJ18,0)</f>
        <v/>
      </c>
      <c r="BK19" s="47">
        <f>IF('СРОКИ'!BK10&lt;'СРОКИ'!$B$6,'CF_Аренда'!BK18,0)</f>
        <v/>
      </c>
      <c r="BL19" s="47">
        <f>IF('СРОКИ'!BL10&lt;'СРОКИ'!$B$6,'CF_Аренда'!BL18,0)</f>
        <v/>
      </c>
      <c r="BM19" s="47">
        <f>IF('СРОКИ'!BM10&lt;'СРОКИ'!$B$6,'CF_Аренда'!BM18,0)</f>
        <v/>
      </c>
      <c r="BN19" s="47">
        <f>IF('СРОКИ'!BN10&lt;'СРОКИ'!$B$6,'CF_Аренда'!BN18,0)</f>
        <v/>
      </c>
      <c r="BO19" s="47">
        <f>IF('СРОКИ'!BO10&lt;'СРОКИ'!$B$6,'CF_Аренда'!BO18,0)</f>
        <v/>
      </c>
      <c r="BP19" s="47">
        <f>IF('СРОКИ'!BP10&lt;'СРОКИ'!$B$6,'CF_Аренда'!BP18,0)</f>
        <v/>
      </c>
      <c r="BQ19" s="47">
        <f>IF('СРОКИ'!BQ10&lt;'СРОКИ'!$B$6,'CF_Аренда'!BQ18,0)</f>
        <v/>
      </c>
      <c r="BR19" s="47">
        <f>IF('СРОКИ'!BR10&lt;'СРОКИ'!$B$6,'CF_Аренда'!BR18,0)</f>
        <v/>
      </c>
      <c r="BS19" s="47">
        <f>IF('СРОКИ'!BS10&lt;'СРОКИ'!$B$6,'CF_Аренда'!BS18,0)</f>
        <v/>
      </c>
      <c r="BT19" s="47">
        <f>IF('СРОКИ'!BT10&lt;'СРОКИ'!$B$6,'CF_Аренда'!BT18,0)</f>
        <v/>
      </c>
      <c r="BU19" s="47">
        <f>IF('СРОКИ'!BU10&lt;'СРОКИ'!$B$6,'CF_Аренда'!BU18,0)</f>
        <v/>
      </c>
      <c r="BV19" s="47">
        <f>IF('СРОКИ'!BV10&lt;'СРОКИ'!$B$6,'CF_Аренда'!BV18,0)</f>
        <v/>
      </c>
      <c r="BW19" s="47">
        <f>IF('СРОКИ'!BW10&lt;'СРОКИ'!$B$6,'CF_Аренда'!BW18,0)</f>
        <v/>
      </c>
      <c r="BX19" s="47">
        <f>IF('СРОКИ'!BX10&lt;'СРОКИ'!$B$6,'CF_Аренда'!BX18,0)</f>
        <v/>
      </c>
      <c r="BY19" s="47">
        <f>IF('СРОКИ'!BY10&lt;'СРОКИ'!$B$6,'CF_Аренда'!BY18,0)</f>
        <v/>
      </c>
      <c r="BZ19" s="47">
        <f>IF('СРОКИ'!BZ10&lt;'СРОКИ'!$B$6,'CF_Аренда'!BZ18,0)</f>
        <v/>
      </c>
      <c r="CA19" s="47">
        <f>IF('СРОКИ'!CA10&lt;'СРОКИ'!$B$6,'CF_Аренда'!CA18,0)</f>
        <v/>
      </c>
      <c r="CB19" s="47">
        <f>IF('СРОКИ'!CB10&lt;'СРОКИ'!$B$6,'CF_Аренда'!CB18,0)</f>
        <v/>
      </c>
      <c r="CC19" s="47">
        <f>IF('СРОКИ'!CC10&lt;'СРОКИ'!$B$6,'CF_Аренда'!CC18,0)</f>
        <v/>
      </c>
      <c r="CD19" s="47">
        <f>IF('СРОКИ'!CD10&lt;'СРОКИ'!$B$6,'CF_Аренда'!CD18,0)</f>
        <v/>
      </c>
      <c r="CE19" s="47">
        <f>IF('СРОКИ'!CE10&lt;'СРОКИ'!$B$6,'CF_Аренда'!CE18,0)</f>
        <v/>
      </c>
      <c r="CF19" s="47">
        <f>IF('СРОКИ'!CF10&lt;'СРОКИ'!$B$6,'CF_Аренда'!CF18,0)</f>
        <v/>
      </c>
      <c r="CG19" s="47">
        <f>IF('СРОКИ'!CG10&lt;'СРОКИ'!$B$6,'CF_Аренда'!CG18,0)</f>
        <v/>
      </c>
      <c r="CH19" s="47">
        <f>IF('СРОКИ'!CH10&lt;'СРОКИ'!$B$6,'CF_Аренда'!CH18,0)</f>
        <v/>
      </c>
      <c r="CI19" s="47">
        <f>IF('СРОКИ'!CI10&lt;'СРОКИ'!$B$6,'CF_Аренда'!CI18,0)</f>
        <v/>
      </c>
      <c r="CJ19" s="47">
        <f>IF('СРОКИ'!CJ10&lt;'СРОКИ'!$B$6,'CF_Аренда'!CJ18,0)</f>
        <v/>
      </c>
      <c r="CK19" s="47">
        <f>IF('СРОКИ'!CK10&lt;'СРОКИ'!$B$6,'CF_Аренда'!CK18,0)</f>
        <v/>
      </c>
      <c r="CL19" s="47">
        <f>IF('СРОКИ'!CL10&lt;'СРОКИ'!$B$6,'CF_Аренда'!CL18,0)</f>
        <v/>
      </c>
      <c r="CM19" s="47">
        <f>IF('СРОКИ'!CM10&lt;'СРОКИ'!$B$6,'CF_Аренда'!CM18,0)</f>
        <v/>
      </c>
      <c r="CN19" s="47">
        <f>IF('СРОКИ'!CN10&lt;'СРОКИ'!$B$6,'CF_Аренда'!CN18,0)</f>
        <v/>
      </c>
      <c r="CO19" s="47">
        <f>IF('СРОКИ'!CO10&lt;'СРОКИ'!$B$6,'CF_Аренда'!CO18,0)</f>
        <v/>
      </c>
      <c r="CP19" s="47">
        <f>IF('СРОКИ'!CP10&lt;'СРОКИ'!$B$6,'CF_Аренда'!CP18,0)</f>
        <v/>
      </c>
      <c r="CQ19" s="47">
        <f>IF('СРОКИ'!CQ10&lt;'СРОКИ'!$B$6,'CF_Аренда'!CQ18,0)</f>
        <v/>
      </c>
      <c r="CR19" s="47">
        <f>IF('СРОКИ'!CR10&lt;'СРОКИ'!$B$6,'CF_Аренда'!CR18,0)</f>
        <v/>
      </c>
      <c r="CS19" s="47">
        <f>IF('СРОКИ'!CS10&lt;'СРОКИ'!$B$6,'CF_Аренда'!CS18,0)</f>
        <v/>
      </c>
      <c r="CT19" s="47">
        <f>IF('СРОКИ'!CT10&lt;'СРОКИ'!$B$6,'CF_Аренда'!CT18,0)</f>
        <v/>
      </c>
      <c r="CU19" s="47">
        <f>IF('СРОКИ'!CU10&lt;'СРОКИ'!$B$6,'CF_Аренда'!CU18,0)</f>
        <v/>
      </c>
      <c r="CV19" s="47">
        <f>IF('СРОКИ'!CV10&lt;'СРОКИ'!$B$6,'CF_Аренда'!CV18,0)</f>
        <v/>
      </c>
      <c r="CW19" s="47">
        <f>IF('СРОКИ'!CW10&lt;'СРОКИ'!$B$6,'CF_Аренда'!CW18,0)</f>
        <v/>
      </c>
      <c r="CX19" s="47">
        <f>IF('СРОКИ'!CX10&lt;'СРОКИ'!$B$6,'CF_Аренда'!CX18,0)</f>
        <v/>
      </c>
      <c r="CY19" s="47">
        <f>IF('СРОКИ'!CY10&lt;'СРОКИ'!$B$6,'CF_Аренда'!CY18,0)</f>
        <v/>
      </c>
      <c r="CZ19" s="47">
        <f>IF('СРОКИ'!CZ10&lt;'СРОКИ'!$B$6,'CF_Аренда'!CZ18,0)</f>
        <v/>
      </c>
      <c r="DA19" s="47">
        <f>IF('СРОКИ'!DA10&lt;'СРОКИ'!$B$6,'CF_Аренда'!DA18,0)</f>
        <v/>
      </c>
      <c r="DB19" s="47">
        <f>IF('СРОКИ'!DB10&lt;'СРОКИ'!$B$6,'CF_Аренда'!DB18,0)</f>
        <v/>
      </c>
      <c r="DC19" s="47">
        <f>IF('СРОКИ'!DC10&lt;'СРОКИ'!$B$6,'CF_Аренда'!DC18,0)</f>
        <v/>
      </c>
      <c r="DD19" s="47">
        <f>IF('СРОКИ'!DD10&lt;'СРОКИ'!$B$6,'CF_Аренда'!DD18,0)</f>
        <v/>
      </c>
      <c r="DE19" s="47">
        <f>IF('СРОКИ'!DE10&lt;'СРОКИ'!$B$6,'CF_Аренда'!DE18,0)</f>
        <v/>
      </c>
      <c r="DF19" s="47">
        <f>IF('СРОКИ'!DF10&lt;'СРОКИ'!$B$6,'CF_Аренда'!DF18,0)</f>
        <v/>
      </c>
      <c r="DG19" s="47">
        <f>IF('СРОКИ'!DG10&lt;'СРОКИ'!$B$6,'CF_Аренда'!DG18,0)</f>
        <v/>
      </c>
      <c r="DH19" s="47">
        <f>IF('СРОКИ'!DH10&lt;'СРОКИ'!$B$6,'CF_Аренда'!DH18,0)</f>
        <v/>
      </c>
      <c r="DI19" s="47">
        <f>IF('СРОКИ'!DI10&lt;'СРОКИ'!$B$6,'CF_Аренда'!DI18,0)</f>
        <v/>
      </c>
      <c r="DJ19" s="47">
        <f>IF('СРОКИ'!DJ10&lt;'СРОКИ'!$B$6,'CF_Аренда'!DJ18,0)</f>
        <v/>
      </c>
      <c r="DK19" s="47">
        <f>IF('СРОКИ'!DK10&lt;'СРОКИ'!$B$6,'CF_Аренда'!DK18,0)</f>
        <v/>
      </c>
      <c r="DL19" s="47">
        <f>IF('СРОКИ'!DL10&lt;'СРОКИ'!$B$6,'CF_Аренда'!DL18,0)</f>
        <v/>
      </c>
      <c r="DM19" s="47">
        <f>IF('СРОКИ'!DM10&lt;'СРОКИ'!$B$6,'CF_Аренда'!DM18,0)</f>
        <v/>
      </c>
    </row>
    <row r="20">
      <c r="A20" s="36" t="inlineStr">
        <is>
          <t>Проценты уплачены</t>
        </is>
      </c>
      <c r="B20" s="40">
        <f>SUM(D20:DM20)</f>
        <v/>
      </c>
      <c r="C20" s="37" t="inlineStr">
        <is>
          <t>млн ₽</t>
        </is>
      </c>
      <c r="D20" s="47">
        <f>IF('СРОКИ'!D10&gt;='СРОКИ'!$B$6,'CF_Аренда'!D18,0)*'CF_Аренда'!D6</f>
        <v/>
      </c>
      <c r="E20" s="47">
        <f>IF('СРОКИ'!E10&gt;='СРОКИ'!$B$6,'CF_Аренда'!E18,0)*'CF_Аренда'!E6</f>
        <v/>
      </c>
      <c r="F20" s="47">
        <f>IF('СРОКИ'!F10&gt;='СРОКИ'!$B$6,'CF_Аренда'!F18,0)*'CF_Аренда'!F6</f>
        <v/>
      </c>
      <c r="G20" s="47">
        <f>IF('СРОКИ'!G10&gt;='СРОКИ'!$B$6,'CF_Аренда'!G18,0)*'CF_Аренда'!G6</f>
        <v/>
      </c>
      <c r="H20" s="47">
        <f>IF('СРОКИ'!H10&gt;='СРОКИ'!$B$6,'CF_Аренда'!H18,0)*'CF_Аренда'!H6</f>
        <v/>
      </c>
      <c r="I20" s="47">
        <f>IF('СРОКИ'!I10&gt;='СРОКИ'!$B$6,'CF_Аренда'!I18,0)*'CF_Аренда'!I6</f>
        <v/>
      </c>
      <c r="J20" s="47">
        <f>IF('СРОКИ'!J10&gt;='СРОКИ'!$B$6,'CF_Аренда'!J18,0)*'CF_Аренда'!J6</f>
        <v/>
      </c>
      <c r="K20" s="47">
        <f>IF('СРОКИ'!K10&gt;='СРОКИ'!$B$6,'CF_Аренда'!K18,0)*'CF_Аренда'!K6</f>
        <v/>
      </c>
      <c r="L20" s="47">
        <f>IF('СРОКИ'!L10&gt;='СРОКИ'!$B$6,'CF_Аренда'!L18,0)*'CF_Аренда'!L6</f>
        <v/>
      </c>
      <c r="M20" s="47">
        <f>IF('СРОКИ'!M10&gt;='СРОКИ'!$B$6,'CF_Аренда'!M18,0)*'CF_Аренда'!M6</f>
        <v/>
      </c>
      <c r="N20" s="47">
        <f>IF('СРОКИ'!N10&gt;='СРОКИ'!$B$6,'CF_Аренда'!N18,0)*'CF_Аренда'!N6</f>
        <v/>
      </c>
      <c r="O20" s="47">
        <f>IF('СРОКИ'!O10&gt;='СРОКИ'!$B$6,'CF_Аренда'!O18,0)*'CF_Аренда'!O6</f>
        <v/>
      </c>
      <c r="P20" s="47">
        <f>IF('СРОКИ'!P10&gt;='СРОКИ'!$B$6,'CF_Аренда'!P18,0)*'CF_Аренда'!P6</f>
        <v/>
      </c>
      <c r="Q20" s="47">
        <f>IF('СРОКИ'!Q10&gt;='СРОКИ'!$B$6,'CF_Аренда'!Q18,0)*'CF_Аренда'!Q6</f>
        <v/>
      </c>
      <c r="R20" s="47">
        <f>IF('СРОКИ'!R10&gt;='СРОКИ'!$B$6,'CF_Аренда'!R18,0)*'CF_Аренда'!R6</f>
        <v/>
      </c>
      <c r="S20" s="47">
        <f>IF('СРОКИ'!S10&gt;='СРОКИ'!$B$6,'CF_Аренда'!S18,0)*'CF_Аренда'!S6</f>
        <v/>
      </c>
      <c r="T20" s="47">
        <f>IF('СРОКИ'!T10&gt;='СРОКИ'!$B$6,'CF_Аренда'!T18,0)*'CF_Аренда'!T6</f>
        <v/>
      </c>
      <c r="U20" s="47">
        <f>IF('СРОКИ'!U10&gt;='СРОКИ'!$B$6,'CF_Аренда'!U18,0)*'CF_Аренда'!U6</f>
        <v/>
      </c>
      <c r="V20" s="47">
        <f>IF('СРОКИ'!V10&gt;='СРОКИ'!$B$6,'CF_Аренда'!V18,0)*'CF_Аренда'!V6</f>
        <v/>
      </c>
      <c r="W20" s="47">
        <f>IF('СРОКИ'!W10&gt;='СРОКИ'!$B$6,'CF_Аренда'!W18,0)*'CF_Аренда'!W6</f>
        <v/>
      </c>
      <c r="X20" s="47">
        <f>IF('СРОКИ'!X10&gt;='СРОКИ'!$B$6,'CF_Аренда'!X18,0)*'CF_Аренда'!X6</f>
        <v/>
      </c>
      <c r="Y20" s="47">
        <f>IF('СРОКИ'!Y10&gt;='СРОКИ'!$B$6,'CF_Аренда'!Y18,0)*'CF_Аренда'!Y6</f>
        <v/>
      </c>
      <c r="Z20" s="47">
        <f>IF('СРОКИ'!Z10&gt;='СРОКИ'!$B$6,'CF_Аренда'!Z18,0)*'CF_Аренда'!Z6</f>
        <v/>
      </c>
      <c r="AA20" s="47">
        <f>IF('СРОКИ'!AA10&gt;='СРОКИ'!$B$6,'CF_Аренда'!AA18,0)*'CF_Аренда'!AA6</f>
        <v/>
      </c>
      <c r="AB20" s="47">
        <f>IF('СРОКИ'!AB10&gt;='СРОКИ'!$B$6,'CF_Аренда'!AB18,0)*'CF_Аренда'!AB6</f>
        <v/>
      </c>
      <c r="AC20" s="47">
        <f>IF('СРОКИ'!AC10&gt;='СРОКИ'!$B$6,'CF_Аренда'!AC18,0)*'CF_Аренда'!AC6</f>
        <v/>
      </c>
      <c r="AD20" s="47">
        <f>IF('СРОКИ'!AD10&gt;='СРОКИ'!$B$6,'CF_Аренда'!AD18,0)*'CF_Аренда'!AD6</f>
        <v/>
      </c>
      <c r="AE20" s="47">
        <f>IF('СРОКИ'!AE10&gt;='СРОКИ'!$B$6,'CF_Аренда'!AE18,0)*'CF_Аренда'!AE6</f>
        <v/>
      </c>
      <c r="AF20" s="47">
        <f>IF('СРОКИ'!AF10&gt;='СРОКИ'!$B$6,'CF_Аренда'!AF18,0)*'CF_Аренда'!AF6</f>
        <v/>
      </c>
      <c r="AG20" s="47">
        <f>IF('СРОКИ'!AG10&gt;='СРОКИ'!$B$6,'CF_Аренда'!AG18,0)*'CF_Аренда'!AG6</f>
        <v/>
      </c>
      <c r="AH20" s="47">
        <f>IF('СРОКИ'!AH10&gt;='СРОКИ'!$B$6,'CF_Аренда'!AH18,0)*'CF_Аренда'!AH6</f>
        <v/>
      </c>
      <c r="AI20" s="47">
        <f>IF('СРОКИ'!AI10&gt;='СРОКИ'!$B$6,'CF_Аренда'!AI18,0)*'CF_Аренда'!AI6</f>
        <v/>
      </c>
      <c r="AJ20" s="47">
        <f>IF('СРОКИ'!AJ10&gt;='СРОКИ'!$B$6,'CF_Аренда'!AJ18,0)*'CF_Аренда'!AJ6</f>
        <v/>
      </c>
      <c r="AK20" s="47">
        <f>IF('СРОКИ'!AK10&gt;='СРОКИ'!$B$6,'CF_Аренда'!AK18,0)*'CF_Аренда'!AK6</f>
        <v/>
      </c>
      <c r="AL20" s="47">
        <f>IF('СРОКИ'!AL10&gt;='СРОКИ'!$B$6,'CF_Аренда'!AL18,0)*'CF_Аренда'!AL6</f>
        <v/>
      </c>
      <c r="AM20" s="47">
        <f>IF('СРОКИ'!AM10&gt;='СРОКИ'!$B$6,'CF_Аренда'!AM18,0)*'CF_Аренда'!AM6</f>
        <v/>
      </c>
      <c r="AN20" s="47">
        <f>IF('СРОКИ'!AN10&gt;='СРОКИ'!$B$6,'CF_Аренда'!AN18,0)*'CF_Аренда'!AN6</f>
        <v/>
      </c>
      <c r="AO20" s="47">
        <f>IF('СРОКИ'!AO10&gt;='СРОКИ'!$B$6,'CF_Аренда'!AO18,0)*'CF_Аренда'!AO6</f>
        <v/>
      </c>
      <c r="AP20" s="47">
        <f>IF('СРОКИ'!AP10&gt;='СРОКИ'!$B$6,'CF_Аренда'!AP18,0)*'CF_Аренда'!AP6</f>
        <v/>
      </c>
      <c r="AQ20" s="47">
        <f>IF('СРОКИ'!AQ10&gt;='СРОКИ'!$B$6,'CF_Аренда'!AQ18,0)*'CF_Аренда'!AQ6</f>
        <v/>
      </c>
      <c r="AR20" s="47">
        <f>IF('СРОКИ'!AR10&gt;='СРОКИ'!$B$6,'CF_Аренда'!AR18,0)*'CF_Аренда'!AR6</f>
        <v/>
      </c>
      <c r="AS20" s="47">
        <f>IF('СРОКИ'!AS10&gt;='СРОКИ'!$B$6,'CF_Аренда'!AS18,0)*'CF_Аренда'!AS6</f>
        <v/>
      </c>
      <c r="AT20" s="47">
        <f>IF('СРОКИ'!AT10&gt;='СРОКИ'!$B$6,'CF_Аренда'!AT18,0)*'CF_Аренда'!AT6</f>
        <v/>
      </c>
      <c r="AU20" s="47">
        <f>IF('СРОКИ'!AU10&gt;='СРОКИ'!$B$6,'CF_Аренда'!AU18,0)*'CF_Аренда'!AU6</f>
        <v/>
      </c>
      <c r="AV20" s="47">
        <f>IF('СРОКИ'!AV10&gt;='СРОКИ'!$B$6,'CF_Аренда'!AV18,0)*'CF_Аренда'!AV6</f>
        <v/>
      </c>
      <c r="AW20" s="47">
        <f>IF('СРОКИ'!AW10&gt;='СРОКИ'!$B$6,'CF_Аренда'!AW18,0)*'CF_Аренда'!AW6</f>
        <v/>
      </c>
      <c r="AX20" s="47">
        <f>IF('СРОКИ'!AX10&gt;='СРОКИ'!$B$6,'CF_Аренда'!AX18,0)*'CF_Аренда'!AX6</f>
        <v/>
      </c>
      <c r="AY20" s="47">
        <f>IF('СРОКИ'!AY10&gt;='СРОКИ'!$B$6,'CF_Аренда'!AY18,0)*'CF_Аренда'!AY6</f>
        <v/>
      </c>
      <c r="AZ20" s="47">
        <f>IF('СРОКИ'!AZ10&gt;='СРОКИ'!$B$6,'CF_Аренда'!AZ18,0)*'CF_Аренда'!AZ6</f>
        <v/>
      </c>
      <c r="BA20" s="47">
        <f>IF('СРОКИ'!BA10&gt;='СРОКИ'!$B$6,'CF_Аренда'!BA18,0)*'CF_Аренда'!BA6</f>
        <v/>
      </c>
      <c r="BB20" s="47">
        <f>IF('СРОКИ'!BB10&gt;='СРОКИ'!$B$6,'CF_Аренда'!BB18,0)*'CF_Аренда'!BB6</f>
        <v/>
      </c>
      <c r="BC20" s="47">
        <f>IF('СРОКИ'!BC10&gt;='СРОКИ'!$B$6,'CF_Аренда'!BC18,0)*'CF_Аренда'!BC6</f>
        <v/>
      </c>
      <c r="BD20" s="47">
        <f>IF('СРОКИ'!BD10&gt;='СРОКИ'!$B$6,'CF_Аренда'!BD18,0)*'CF_Аренда'!BD6</f>
        <v/>
      </c>
      <c r="BE20" s="47">
        <f>IF('СРОКИ'!BE10&gt;='СРОКИ'!$B$6,'CF_Аренда'!BE18,0)*'CF_Аренда'!BE6</f>
        <v/>
      </c>
      <c r="BF20" s="47">
        <f>IF('СРОКИ'!BF10&gt;='СРОКИ'!$B$6,'CF_Аренда'!BF18,0)*'CF_Аренда'!BF6</f>
        <v/>
      </c>
      <c r="BG20" s="47">
        <f>IF('СРОКИ'!BG10&gt;='СРОКИ'!$B$6,'CF_Аренда'!BG18,0)*'CF_Аренда'!BG6</f>
        <v/>
      </c>
      <c r="BH20" s="47">
        <f>IF('СРОКИ'!BH10&gt;='СРОКИ'!$B$6,'CF_Аренда'!BH18,0)*'CF_Аренда'!BH6</f>
        <v/>
      </c>
      <c r="BI20" s="47">
        <f>IF('СРОКИ'!BI10&gt;='СРОКИ'!$B$6,'CF_Аренда'!BI18,0)*'CF_Аренда'!BI6</f>
        <v/>
      </c>
      <c r="BJ20" s="47">
        <f>IF('СРОКИ'!BJ10&gt;='СРОКИ'!$B$6,'CF_Аренда'!BJ18,0)*'CF_Аренда'!BJ6</f>
        <v/>
      </c>
      <c r="BK20" s="47">
        <f>IF('СРОКИ'!BK10&gt;='СРОКИ'!$B$6,'CF_Аренда'!BK18,0)*'CF_Аренда'!BK6</f>
        <v/>
      </c>
      <c r="BL20" s="47">
        <f>IF('СРОКИ'!BL10&gt;='СРОКИ'!$B$6,'CF_Аренда'!BL18,0)*'CF_Аренда'!BL6</f>
        <v/>
      </c>
      <c r="BM20" s="47">
        <f>IF('СРОКИ'!BM10&gt;='СРОКИ'!$B$6,'CF_Аренда'!BM18,0)*'CF_Аренда'!BM6</f>
        <v/>
      </c>
      <c r="BN20" s="47">
        <f>IF('СРОКИ'!BN10&gt;='СРОКИ'!$B$6,'CF_Аренда'!BN18,0)*'CF_Аренда'!BN6</f>
        <v/>
      </c>
      <c r="BO20" s="47">
        <f>IF('СРОКИ'!BO10&gt;='СРОКИ'!$B$6,'CF_Аренда'!BO18,0)*'CF_Аренда'!BO6</f>
        <v/>
      </c>
      <c r="BP20" s="47">
        <f>IF('СРОКИ'!BP10&gt;='СРОКИ'!$B$6,'CF_Аренда'!BP18,0)*'CF_Аренда'!BP6</f>
        <v/>
      </c>
      <c r="BQ20" s="47">
        <f>IF('СРОКИ'!BQ10&gt;='СРОКИ'!$B$6,'CF_Аренда'!BQ18,0)*'CF_Аренда'!BQ6</f>
        <v/>
      </c>
      <c r="BR20" s="47">
        <f>IF('СРОКИ'!BR10&gt;='СРОКИ'!$B$6,'CF_Аренда'!BR18,0)*'CF_Аренда'!BR6</f>
        <v/>
      </c>
      <c r="BS20" s="47">
        <f>IF('СРОКИ'!BS10&gt;='СРОКИ'!$B$6,'CF_Аренда'!BS18,0)*'CF_Аренда'!BS6</f>
        <v/>
      </c>
      <c r="BT20" s="47">
        <f>IF('СРОКИ'!BT10&gt;='СРОКИ'!$B$6,'CF_Аренда'!BT18,0)*'CF_Аренда'!BT6</f>
        <v/>
      </c>
      <c r="BU20" s="47">
        <f>IF('СРОКИ'!BU10&gt;='СРОКИ'!$B$6,'CF_Аренда'!BU18,0)*'CF_Аренда'!BU6</f>
        <v/>
      </c>
      <c r="BV20" s="47">
        <f>IF('СРОКИ'!BV10&gt;='СРОКИ'!$B$6,'CF_Аренда'!BV18,0)*'CF_Аренда'!BV6</f>
        <v/>
      </c>
      <c r="BW20" s="47">
        <f>IF('СРОКИ'!BW10&gt;='СРОКИ'!$B$6,'CF_Аренда'!BW18,0)*'CF_Аренда'!BW6</f>
        <v/>
      </c>
      <c r="BX20" s="47">
        <f>IF('СРОКИ'!BX10&gt;='СРОКИ'!$B$6,'CF_Аренда'!BX18,0)*'CF_Аренда'!BX6</f>
        <v/>
      </c>
      <c r="BY20" s="47">
        <f>IF('СРОКИ'!BY10&gt;='СРОКИ'!$B$6,'CF_Аренда'!BY18,0)*'CF_Аренда'!BY6</f>
        <v/>
      </c>
      <c r="BZ20" s="47">
        <f>IF('СРОКИ'!BZ10&gt;='СРОКИ'!$B$6,'CF_Аренда'!BZ18,0)*'CF_Аренда'!BZ6</f>
        <v/>
      </c>
      <c r="CA20" s="47">
        <f>IF('СРОКИ'!CA10&gt;='СРОКИ'!$B$6,'CF_Аренда'!CA18,0)*'CF_Аренда'!CA6</f>
        <v/>
      </c>
      <c r="CB20" s="47">
        <f>IF('СРОКИ'!CB10&gt;='СРОКИ'!$B$6,'CF_Аренда'!CB18,0)*'CF_Аренда'!CB6</f>
        <v/>
      </c>
      <c r="CC20" s="47">
        <f>IF('СРОКИ'!CC10&gt;='СРОКИ'!$B$6,'CF_Аренда'!CC18,0)*'CF_Аренда'!CC6</f>
        <v/>
      </c>
      <c r="CD20" s="47">
        <f>IF('СРОКИ'!CD10&gt;='СРОКИ'!$B$6,'CF_Аренда'!CD18,0)*'CF_Аренда'!CD6</f>
        <v/>
      </c>
      <c r="CE20" s="47">
        <f>IF('СРОКИ'!CE10&gt;='СРОКИ'!$B$6,'CF_Аренда'!CE18,0)*'CF_Аренда'!CE6</f>
        <v/>
      </c>
      <c r="CF20" s="47">
        <f>IF('СРОКИ'!CF10&gt;='СРОКИ'!$B$6,'CF_Аренда'!CF18,0)*'CF_Аренда'!CF6</f>
        <v/>
      </c>
      <c r="CG20" s="47">
        <f>IF('СРОКИ'!CG10&gt;='СРОКИ'!$B$6,'CF_Аренда'!CG18,0)*'CF_Аренда'!CG6</f>
        <v/>
      </c>
      <c r="CH20" s="47">
        <f>IF('СРОКИ'!CH10&gt;='СРОКИ'!$B$6,'CF_Аренда'!CH18,0)*'CF_Аренда'!CH6</f>
        <v/>
      </c>
      <c r="CI20" s="47">
        <f>IF('СРОКИ'!CI10&gt;='СРОКИ'!$B$6,'CF_Аренда'!CI18,0)*'CF_Аренда'!CI6</f>
        <v/>
      </c>
      <c r="CJ20" s="47">
        <f>IF('СРОКИ'!CJ10&gt;='СРОКИ'!$B$6,'CF_Аренда'!CJ18,0)*'CF_Аренда'!CJ6</f>
        <v/>
      </c>
      <c r="CK20" s="47">
        <f>IF('СРОКИ'!CK10&gt;='СРОКИ'!$B$6,'CF_Аренда'!CK18,0)*'CF_Аренда'!CK6</f>
        <v/>
      </c>
      <c r="CL20" s="47">
        <f>IF('СРОКИ'!CL10&gt;='СРОКИ'!$B$6,'CF_Аренда'!CL18,0)*'CF_Аренда'!CL6</f>
        <v/>
      </c>
      <c r="CM20" s="47">
        <f>IF('СРОКИ'!CM10&gt;='СРОКИ'!$B$6,'CF_Аренда'!CM18,0)*'CF_Аренда'!CM6</f>
        <v/>
      </c>
      <c r="CN20" s="47">
        <f>IF('СРОКИ'!CN10&gt;='СРОКИ'!$B$6,'CF_Аренда'!CN18,0)*'CF_Аренда'!CN6</f>
        <v/>
      </c>
      <c r="CO20" s="47">
        <f>IF('СРОКИ'!CO10&gt;='СРОКИ'!$B$6,'CF_Аренда'!CO18,0)*'CF_Аренда'!CO6</f>
        <v/>
      </c>
      <c r="CP20" s="47">
        <f>IF('СРОКИ'!CP10&gt;='СРОКИ'!$B$6,'CF_Аренда'!CP18,0)*'CF_Аренда'!CP6</f>
        <v/>
      </c>
      <c r="CQ20" s="47">
        <f>IF('СРОКИ'!CQ10&gt;='СРОКИ'!$B$6,'CF_Аренда'!CQ18,0)*'CF_Аренда'!CQ6</f>
        <v/>
      </c>
      <c r="CR20" s="47">
        <f>IF('СРОКИ'!CR10&gt;='СРОКИ'!$B$6,'CF_Аренда'!CR18,0)*'CF_Аренда'!CR6</f>
        <v/>
      </c>
      <c r="CS20" s="47">
        <f>IF('СРОКИ'!CS10&gt;='СРОКИ'!$B$6,'CF_Аренда'!CS18,0)*'CF_Аренда'!CS6</f>
        <v/>
      </c>
      <c r="CT20" s="47">
        <f>IF('СРОКИ'!CT10&gt;='СРОКИ'!$B$6,'CF_Аренда'!CT18,0)*'CF_Аренда'!CT6</f>
        <v/>
      </c>
      <c r="CU20" s="47">
        <f>IF('СРОКИ'!CU10&gt;='СРОКИ'!$B$6,'CF_Аренда'!CU18,0)*'CF_Аренда'!CU6</f>
        <v/>
      </c>
      <c r="CV20" s="47">
        <f>IF('СРОКИ'!CV10&gt;='СРОКИ'!$B$6,'CF_Аренда'!CV18,0)*'CF_Аренда'!CV6</f>
        <v/>
      </c>
      <c r="CW20" s="47">
        <f>IF('СРОКИ'!CW10&gt;='СРОКИ'!$B$6,'CF_Аренда'!CW18,0)*'CF_Аренда'!CW6</f>
        <v/>
      </c>
      <c r="CX20" s="47">
        <f>IF('СРОКИ'!CX10&gt;='СРОКИ'!$B$6,'CF_Аренда'!CX18,0)*'CF_Аренда'!CX6</f>
        <v/>
      </c>
      <c r="CY20" s="47">
        <f>IF('СРОКИ'!CY10&gt;='СРОКИ'!$B$6,'CF_Аренда'!CY18,0)*'CF_Аренда'!CY6</f>
        <v/>
      </c>
      <c r="CZ20" s="47">
        <f>IF('СРОКИ'!CZ10&gt;='СРОКИ'!$B$6,'CF_Аренда'!CZ18,0)*'CF_Аренда'!CZ6</f>
        <v/>
      </c>
      <c r="DA20" s="47">
        <f>IF('СРОКИ'!DA10&gt;='СРОКИ'!$B$6,'CF_Аренда'!DA18,0)*'CF_Аренда'!DA6</f>
        <v/>
      </c>
      <c r="DB20" s="47">
        <f>IF('СРОКИ'!DB10&gt;='СРОКИ'!$B$6,'CF_Аренда'!DB18,0)*'CF_Аренда'!DB6</f>
        <v/>
      </c>
      <c r="DC20" s="47">
        <f>IF('СРОКИ'!DC10&gt;='СРОКИ'!$B$6,'CF_Аренда'!DC18,0)*'CF_Аренда'!DC6</f>
        <v/>
      </c>
      <c r="DD20" s="47">
        <f>IF('СРОКИ'!DD10&gt;='СРОКИ'!$B$6,'CF_Аренда'!DD18,0)*'CF_Аренда'!DD6</f>
        <v/>
      </c>
      <c r="DE20" s="47">
        <f>IF('СРОКИ'!DE10&gt;='СРОКИ'!$B$6,'CF_Аренда'!DE18,0)*'CF_Аренда'!DE6</f>
        <v/>
      </c>
      <c r="DF20" s="47">
        <f>IF('СРОКИ'!DF10&gt;='СРОКИ'!$B$6,'CF_Аренда'!DF18,0)*'CF_Аренда'!DF6</f>
        <v/>
      </c>
      <c r="DG20" s="47">
        <f>IF('СРОКИ'!DG10&gt;='СРОКИ'!$B$6,'CF_Аренда'!DG18,0)*'CF_Аренда'!DG6</f>
        <v/>
      </c>
      <c r="DH20" s="47">
        <f>IF('СРОКИ'!DH10&gt;='СРОКИ'!$B$6,'CF_Аренда'!DH18,0)*'CF_Аренда'!DH6</f>
        <v/>
      </c>
      <c r="DI20" s="47">
        <f>IF('СРОКИ'!DI10&gt;='СРОКИ'!$B$6,'CF_Аренда'!DI18,0)*'CF_Аренда'!DI6</f>
        <v/>
      </c>
      <c r="DJ20" s="47">
        <f>IF('СРОКИ'!DJ10&gt;='СРОКИ'!$B$6,'CF_Аренда'!DJ18,0)*'CF_Аренда'!DJ6</f>
        <v/>
      </c>
      <c r="DK20" s="47">
        <f>IF('СРОКИ'!DK10&gt;='СРОКИ'!$B$6,'CF_Аренда'!DK18,0)*'CF_Аренда'!DK6</f>
        <v/>
      </c>
      <c r="DL20" s="47">
        <f>IF('СРОКИ'!DL10&gt;='СРОКИ'!$B$6,'CF_Аренда'!DL18,0)*'CF_Аренда'!DL6</f>
        <v/>
      </c>
      <c r="DM20" s="47">
        <f>IF('СРОКИ'!DM10&gt;='СРОКИ'!$B$6,'CF_Аренда'!DM18,0)*'CF_Аренда'!DM6</f>
        <v/>
      </c>
    </row>
    <row r="21">
      <c r="A21" s="36" t="inlineStr">
        <is>
          <t>Долг до погашения</t>
        </is>
      </c>
      <c r="B21" s="10" t="n"/>
      <c r="C21" s="37" t="inlineStr">
        <is>
          <t>млн ₽</t>
        </is>
      </c>
      <c r="D21" s="47">
        <f>'CF_Аренда'!D19+'CF_Аренда'!D17</f>
        <v/>
      </c>
      <c r="E21" s="47">
        <f>'CF_Аренда'!D30+'CF_Аренда'!E19+'CF_Аренда'!E17</f>
        <v/>
      </c>
      <c r="F21" s="47">
        <f>'CF_Аренда'!E30+'CF_Аренда'!F19+'CF_Аренда'!F17</f>
        <v/>
      </c>
      <c r="G21" s="47">
        <f>'CF_Аренда'!F30+'CF_Аренда'!G19+'CF_Аренда'!G17</f>
        <v/>
      </c>
      <c r="H21" s="47">
        <f>'CF_Аренда'!G30+'CF_Аренда'!H19+'CF_Аренда'!H17</f>
        <v/>
      </c>
      <c r="I21" s="47">
        <f>'CF_Аренда'!H30+'CF_Аренда'!I19+'CF_Аренда'!I17</f>
        <v/>
      </c>
      <c r="J21" s="47">
        <f>'CF_Аренда'!I30+'CF_Аренда'!J19+'CF_Аренда'!J17</f>
        <v/>
      </c>
      <c r="K21" s="47">
        <f>'CF_Аренда'!J30+'CF_Аренда'!K19+'CF_Аренда'!K17</f>
        <v/>
      </c>
      <c r="L21" s="47">
        <f>'CF_Аренда'!K30+'CF_Аренда'!L19+'CF_Аренда'!L17</f>
        <v/>
      </c>
      <c r="M21" s="47">
        <f>'CF_Аренда'!L30+'CF_Аренда'!M19+'CF_Аренда'!M17</f>
        <v/>
      </c>
      <c r="N21" s="47">
        <f>'CF_Аренда'!M30+'CF_Аренда'!N19+'CF_Аренда'!N17</f>
        <v/>
      </c>
      <c r="O21" s="47">
        <f>'CF_Аренда'!N30+'CF_Аренда'!O19+'CF_Аренда'!O17</f>
        <v/>
      </c>
      <c r="P21" s="47">
        <f>'CF_Аренда'!O30+'CF_Аренда'!P19+'CF_Аренда'!P17</f>
        <v/>
      </c>
      <c r="Q21" s="47">
        <f>'CF_Аренда'!P30+'CF_Аренда'!Q19+'CF_Аренда'!Q17</f>
        <v/>
      </c>
      <c r="R21" s="47">
        <f>'CF_Аренда'!Q30+'CF_Аренда'!R19+'CF_Аренда'!R17</f>
        <v/>
      </c>
      <c r="S21" s="47">
        <f>'CF_Аренда'!R30+'CF_Аренда'!S19+'CF_Аренда'!S17</f>
        <v/>
      </c>
      <c r="T21" s="47">
        <f>'CF_Аренда'!S30+'CF_Аренда'!T19+'CF_Аренда'!T17</f>
        <v/>
      </c>
      <c r="U21" s="47">
        <f>'CF_Аренда'!T30+'CF_Аренда'!U19+'CF_Аренда'!U17</f>
        <v/>
      </c>
      <c r="V21" s="47">
        <f>'CF_Аренда'!U30+'CF_Аренда'!V19+'CF_Аренда'!V17</f>
        <v/>
      </c>
      <c r="W21" s="47">
        <f>'CF_Аренда'!V30+'CF_Аренда'!W19+'CF_Аренда'!W17</f>
        <v/>
      </c>
      <c r="X21" s="47">
        <f>'CF_Аренда'!W30+'CF_Аренда'!X19+'CF_Аренда'!X17</f>
        <v/>
      </c>
      <c r="Y21" s="47">
        <f>'CF_Аренда'!X30+'CF_Аренда'!Y19+'CF_Аренда'!Y17</f>
        <v/>
      </c>
      <c r="Z21" s="47">
        <f>'CF_Аренда'!Y30+'CF_Аренда'!Z19+'CF_Аренда'!Z17</f>
        <v/>
      </c>
      <c r="AA21" s="47">
        <f>'CF_Аренда'!Z30+'CF_Аренда'!AA19+'CF_Аренда'!AA17</f>
        <v/>
      </c>
      <c r="AB21" s="47">
        <f>'CF_Аренда'!AA30+'CF_Аренда'!AB19+'CF_Аренда'!AB17</f>
        <v/>
      </c>
      <c r="AC21" s="47">
        <f>'CF_Аренда'!AB30+'CF_Аренда'!AC19+'CF_Аренда'!AC17</f>
        <v/>
      </c>
      <c r="AD21" s="47">
        <f>'CF_Аренда'!AC30+'CF_Аренда'!AD19+'CF_Аренда'!AD17</f>
        <v/>
      </c>
      <c r="AE21" s="47">
        <f>'CF_Аренда'!AD30+'CF_Аренда'!AE19+'CF_Аренда'!AE17</f>
        <v/>
      </c>
      <c r="AF21" s="47">
        <f>'CF_Аренда'!AE30+'CF_Аренда'!AF19+'CF_Аренда'!AF17</f>
        <v/>
      </c>
      <c r="AG21" s="47">
        <f>'CF_Аренда'!AF30+'CF_Аренда'!AG19+'CF_Аренда'!AG17</f>
        <v/>
      </c>
      <c r="AH21" s="47">
        <f>'CF_Аренда'!AG30+'CF_Аренда'!AH19+'CF_Аренда'!AH17</f>
        <v/>
      </c>
      <c r="AI21" s="47">
        <f>'CF_Аренда'!AH30+'CF_Аренда'!AI19+'CF_Аренда'!AI17</f>
        <v/>
      </c>
      <c r="AJ21" s="47">
        <f>'CF_Аренда'!AI30+'CF_Аренда'!AJ19+'CF_Аренда'!AJ17</f>
        <v/>
      </c>
      <c r="AK21" s="47">
        <f>'CF_Аренда'!AJ30+'CF_Аренда'!AK19+'CF_Аренда'!AK17</f>
        <v/>
      </c>
      <c r="AL21" s="47">
        <f>'CF_Аренда'!AK30+'CF_Аренда'!AL19+'CF_Аренда'!AL17</f>
        <v/>
      </c>
      <c r="AM21" s="47">
        <f>'CF_Аренда'!AL30+'CF_Аренда'!AM19+'CF_Аренда'!AM17</f>
        <v/>
      </c>
      <c r="AN21" s="47">
        <f>'CF_Аренда'!AM30+'CF_Аренда'!AN19+'CF_Аренда'!AN17</f>
        <v/>
      </c>
      <c r="AO21" s="47">
        <f>'CF_Аренда'!AN30+'CF_Аренда'!AO19+'CF_Аренда'!AO17</f>
        <v/>
      </c>
      <c r="AP21" s="47">
        <f>'CF_Аренда'!AO30+'CF_Аренда'!AP19+'CF_Аренда'!AP17</f>
        <v/>
      </c>
      <c r="AQ21" s="47">
        <f>'CF_Аренда'!AP30+'CF_Аренда'!AQ19+'CF_Аренда'!AQ17</f>
        <v/>
      </c>
      <c r="AR21" s="47">
        <f>'CF_Аренда'!AQ30+'CF_Аренда'!AR19+'CF_Аренда'!AR17</f>
        <v/>
      </c>
      <c r="AS21" s="47">
        <f>'CF_Аренда'!AR30+'CF_Аренда'!AS19+'CF_Аренда'!AS17</f>
        <v/>
      </c>
      <c r="AT21" s="47">
        <f>'CF_Аренда'!AS30+'CF_Аренда'!AT19+'CF_Аренда'!AT17</f>
        <v/>
      </c>
      <c r="AU21" s="47">
        <f>'CF_Аренда'!AT30+'CF_Аренда'!AU19+'CF_Аренда'!AU17</f>
        <v/>
      </c>
      <c r="AV21" s="47">
        <f>'CF_Аренда'!AU30+'CF_Аренда'!AV19+'CF_Аренда'!AV17</f>
        <v/>
      </c>
      <c r="AW21" s="47">
        <f>'CF_Аренда'!AV30+'CF_Аренда'!AW19+'CF_Аренда'!AW17</f>
        <v/>
      </c>
      <c r="AX21" s="47">
        <f>'CF_Аренда'!AW30+'CF_Аренда'!AX19+'CF_Аренда'!AX17</f>
        <v/>
      </c>
      <c r="AY21" s="47">
        <f>'CF_Аренда'!AX30+'CF_Аренда'!AY19+'CF_Аренда'!AY17</f>
        <v/>
      </c>
      <c r="AZ21" s="47">
        <f>'CF_Аренда'!AY30+'CF_Аренда'!AZ19+'CF_Аренда'!AZ17</f>
        <v/>
      </c>
      <c r="BA21" s="47">
        <f>'CF_Аренда'!AZ30+'CF_Аренда'!BA19+'CF_Аренда'!BA17</f>
        <v/>
      </c>
      <c r="BB21" s="47">
        <f>'CF_Аренда'!BA30+'CF_Аренда'!BB19+'CF_Аренда'!BB17</f>
        <v/>
      </c>
      <c r="BC21" s="47">
        <f>'CF_Аренда'!BB30+'CF_Аренда'!BC19+'CF_Аренда'!BC17</f>
        <v/>
      </c>
      <c r="BD21" s="47">
        <f>'CF_Аренда'!BC30+'CF_Аренда'!BD19+'CF_Аренда'!BD17</f>
        <v/>
      </c>
      <c r="BE21" s="47">
        <f>'CF_Аренда'!BD30+'CF_Аренда'!BE19+'CF_Аренда'!BE17</f>
        <v/>
      </c>
      <c r="BF21" s="47">
        <f>'CF_Аренда'!BE30+'CF_Аренда'!BF19+'CF_Аренда'!BF17</f>
        <v/>
      </c>
      <c r="BG21" s="47">
        <f>'CF_Аренда'!BF30+'CF_Аренда'!BG19+'CF_Аренда'!BG17</f>
        <v/>
      </c>
      <c r="BH21" s="47">
        <f>'CF_Аренда'!BG30+'CF_Аренда'!BH19+'CF_Аренда'!BH17</f>
        <v/>
      </c>
      <c r="BI21" s="47">
        <f>'CF_Аренда'!BH30+'CF_Аренда'!BI19+'CF_Аренда'!BI17</f>
        <v/>
      </c>
      <c r="BJ21" s="47">
        <f>'CF_Аренда'!BI30+'CF_Аренда'!BJ19+'CF_Аренда'!BJ17</f>
        <v/>
      </c>
      <c r="BK21" s="47">
        <f>'CF_Аренда'!BJ30+'CF_Аренда'!BK19+'CF_Аренда'!BK17</f>
        <v/>
      </c>
      <c r="BL21" s="47">
        <f>'CF_Аренда'!BK30+'CF_Аренда'!BL19+'CF_Аренда'!BL17</f>
        <v/>
      </c>
      <c r="BM21" s="47">
        <f>'CF_Аренда'!BL30+'CF_Аренда'!BM19+'CF_Аренда'!BM17</f>
        <v/>
      </c>
      <c r="BN21" s="47">
        <f>'CF_Аренда'!BM30+'CF_Аренда'!BN19+'CF_Аренда'!BN17</f>
        <v/>
      </c>
      <c r="BO21" s="47">
        <f>'CF_Аренда'!BN30+'CF_Аренда'!BO19+'CF_Аренда'!BO17</f>
        <v/>
      </c>
      <c r="BP21" s="47">
        <f>'CF_Аренда'!BO30+'CF_Аренда'!BP19+'CF_Аренда'!BP17</f>
        <v/>
      </c>
      <c r="BQ21" s="47">
        <f>'CF_Аренда'!BP30+'CF_Аренда'!BQ19+'CF_Аренда'!BQ17</f>
        <v/>
      </c>
      <c r="BR21" s="47">
        <f>'CF_Аренда'!BQ30+'CF_Аренда'!BR19+'CF_Аренда'!BR17</f>
        <v/>
      </c>
      <c r="BS21" s="47">
        <f>'CF_Аренда'!BR30+'CF_Аренда'!BS19+'CF_Аренда'!BS17</f>
        <v/>
      </c>
      <c r="BT21" s="47">
        <f>'CF_Аренда'!BS30+'CF_Аренда'!BT19+'CF_Аренда'!BT17</f>
        <v/>
      </c>
      <c r="BU21" s="47">
        <f>'CF_Аренда'!BT30+'CF_Аренда'!BU19+'CF_Аренда'!BU17</f>
        <v/>
      </c>
      <c r="BV21" s="47">
        <f>'CF_Аренда'!BU30+'CF_Аренда'!BV19+'CF_Аренда'!BV17</f>
        <v/>
      </c>
      <c r="BW21" s="47">
        <f>'CF_Аренда'!BV30+'CF_Аренда'!BW19+'CF_Аренда'!BW17</f>
        <v/>
      </c>
      <c r="BX21" s="47">
        <f>'CF_Аренда'!BW30+'CF_Аренда'!BX19+'CF_Аренда'!BX17</f>
        <v/>
      </c>
      <c r="BY21" s="47">
        <f>'CF_Аренда'!BX30+'CF_Аренда'!BY19+'CF_Аренда'!BY17</f>
        <v/>
      </c>
      <c r="BZ21" s="47">
        <f>'CF_Аренда'!BY30+'CF_Аренда'!BZ19+'CF_Аренда'!BZ17</f>
        <v/>
      </c>
      <c r="CA21" s="47">
        <f>'CF_Аренда'!BZ30+'CF_Аренда'!CA19+'CF_Аренда'!CA17</f>
        <v/>
      </c>
      <c r="CB21" s="47">
        <f>'CF_Аренда'!CA30+'CF_Аренда'!CB19+'CF_Аренда'!CB17</f>
        <v/>
      </c>
      <c r="CC21" s="47">
        <f>'CF_Аренда'!CB30+'CF_Аренда'!CC19+'CF_Аренда'!CC17</f>
        <v/>
      </c>
      <c r="CD21" s="47">
        <f>'CF_Аренда'!CC30+'CF_Аренда'!CD19+'CF_Аренда'!CD17</f>
        <v/>
      </c>
      <c r="CE21" s="47">
        <f>'CF_Аренда'!CD30+'CF_Аренда'!CE19+'CF_Аренда'!CE17</f>
        <v/>
      </c>
      <c r="CF21" s="47">
        <f>'CF_Аренда'!CE30+'CF_Аренда'!CF19+'CF_Аренда'!CF17</f>
        <v/>
      </c>
      <c r="CG21" s="47">
        <f>'CF_Аренда'!CF30+'CF_Аренда'!CG19+'CF_Аренда'!CG17</f>
        <v/>
      </c>
      <c r="CH21" s="47">
        <f>'CF_Аренда'!CG30+'CF_Аренда'!CH19+'CF_Аренда'!CH17</f>
        <v/>
      </c>
      <c r="CI21" s="47">
        <f>'CF_Аренда'!CH30+'CF_Аренда'!CI19+'CF_Аренда'!CI17</f>
        <v/>
      </c>
      <c r="CJ21" s="47">
        <f>'CF_Аренда'!CI30+'CF_Аренда'!CJ19+'CF_Аренда'!CJ17</f>
        <v/>
      </c>
      <c r="CK21" s="47">
        <f>'CF_Аренда'!CJ30+'CF_Аренда'!CK19+'CF_Аренда'!CK17</f>
        <v/>
      </c>
      <c r="CL21" s="47">
        <f>'CF_Аренда'!CK30+'CF_Аренда'!CL19+'CF_Аренда'!CL17</f>
        <v/>
      </c>
      <c r="CM21" s="47">
        <f>'CF_Аренда'!CL30+'CF_Аренда'!CM19+'CF_Аренда'!CM17</f>
        <v/>
      </c>
      <c r="CN21" s="47">
        <f>'CF_Аренда'!CM30+'CF_Аренда'!CN19+'CF_Аренда'!CN17</f>
        <v/>
      </c>
      <c r="CO21" s="47">
        <f>'CF_Аренда'!CN30+'CF_Аренда'!CO19+'CF_Аренда'!CO17</f>
        <v/>
      </c>
      <c r="CP21" s="47">
        <f>'CF_Аренда'!CO30+'CF_Аренда'!CP19+'CF_Аренда'!CP17</f>
        <v/>
      </c>
      <c r="CQ21" s="47">
        <f>'CF_Аренда'!CP30+'CF_Аренда'!CQ19+'CF_Аренда'!CQ17</f>
        <v/>
      </c>
      <c r="CR21" s="47">
        <f>'CF_Аренда'!CQ30+'CF_Аренда'!CR19+'CF_Аренда'!CR17</f>
        <v/>
      </c>
      <c r="CS21" s="47">
        <f>'CF_Аренда'!CR30+'CF_Аренда'!CS19+'CF_Аренда'!CS17</f>
        <v/>
      </c>
      <c r="CT21" s="47">
        <f>'CF_Аренда'!CS30+'CF_Аренда'!CT19+'CF_Аренда'!CT17</f>
        <v/>
      </c>
      <c r="CU21" s="47">
        <f>'CF_Аренда'!CT30+'CF_Аренда'!CU19+'CF_Аренда'!CU17</f>
        <v/>
      </c>
      <c r="CV21" s="47">
        <f>'CF_Аренда'!CU30+'CF_Аренда'!CV19+'CF_Аренда'!CV17</f>
        <v/>
      </c>
      <c r="CW21" s="47">
        <f>'CF_Аренда'!CV30+'CF_Аренда'!CW19+'CF_Аренда'!CW17</f>
        <v/>
      </c>
      <c r="CX21" s="47">
        <f>'CF_Аренда'!CW30+'CF_Аренда'!CX19+'CF_Аренда'!CX17</f>
        <v/>
      </c>
      <c r="CY21" s="47">
        <f>'CF_Аренда'!CX30+'CF_Аренда'!CY19+'CF_Аренда'!CY17</f>
        <v/>
      </c>
      <c r="CZ21" s="47">
        <f>'CF_Аренда'!CY30+'CF_Аренда'!CZ19+'CF_Аренда'!CZ17</f>
        <v/>
      </c>
      <c r="DA21" s="47">
        <f>'CF_Аренда'!CZ30+'CF_Аренда'!DA19+'CF_Аренда'!DA17</f>
        <v/>
      </c>
      <c r="DB21" s="47">
        <f>'CF_Аренда'!DA30+'CF_Аренда'!DB19+'CF_Аренда'!DB17</f>
        <v/>
      </c>
      <c r="DC21" s="47">
        <f>'CF_Аренда'!DB30+'CF_Аренда'!DC19+'CF_Аренда'!DC17</f>
        <v/>
      </c>
      <c r="DD21" s="47">
        <f>'CF_Аренда'!DC30+'CF_Аренда'!DD19+'CF_Аренда'!DD17</f>
        <v/>
      </c>
      <c r="DE21" s="47">
        <f>'CF_Аренда'!DD30+'CF_Аренда'!DE19+'CF_Аренда'!DE17</f>
        <v/>
      </c>
      <c r="DF21" s="47">
        <f>'CF_Аренда'!DE30+'CF_Аренда'!DF19+'CF_Аренда'!DF17</f>
        <v/>
      </c>
      <c r="DG21" s="47">
        <f>'CF_Аренда'!DF30+'CF_Аренда'!DG19+'CF_Аренда'!DG17</f>
        <v/>
      </c>
      <c r="DH21" s="47">
        <f>'CF_Аренда'!DG30+'CF_Аренда'!DH19+'CF_Аренда'!DH17</f>
        <v/>
      </c>
      <c r="DI21" s="47">
        <f>'CF_Аренда'!DH30+'CF_Аренда'!DI19+'CF_Аренда'!DI17</f>
        <v/>
      </c>
      <c r="DJ21" s="47">
        <f>'CF_Аренда'!DI30+'CF_Аренда'!DJ19+'CF_Аренда'!DJ17</f>
        <v/>
      </c>
      <c r="DK21" s="47">
        <f>'CF_Аренда'!DJ30+'CF_Аренда'!DK19+'CF_Аренда'!DK17</f>
        <v/>
      </c>
      <c r="DL21" s="47">
        <f>'CF_Аренда'!DK30+'CF_Аренда'!DL19+'CF_Аренда'!DL17</f>
        <v/>
      </c>
      <c r="DM21" s="47">
        <f>'CF_Аренда'!DL30+'CF_Аренда'!DM19+'CF_Аренда'!DM17</f>
        <v/>
      </c>
    </row>
    <row r="22">
      <c r="A22" s="36" t="inlineStr">
        <is>
          <t>Деньги на погашение</t>
        </is>
      </c>
      <c r="B22" s="40">
        <f>SUM(D22:DM22)</f>
        <v/>
      </c>
      <c r="C22" s="37" t="inlineStr">
        <is>
          <t>млн ₽</t>
        </is>
      </c>
      <c r="D22" s="47">
        <f>'CF_Аренда'!D7-'CF_Аренда'!D8-'CF_Аренда'!D13-'CF_Аренда'!D20</f>
        <v/>
      </c>
      <c r="E22" s="47">
        <f>'CF_Аренда'!E7-'CF_Аренда'!E8-'CF_Аренда'!E13-'CF_Аренда'!E20</f>
        <v/>
      </c>
      <c r="F22" s="47">
        <f>'CF_Аренда'!F7-'CF_Аренда'!F8-'CF_Аренда'!F13-'CF_Аренда'!F20</f>
        <v/>
      </c>
      <c r="G22" s="47">
        <f>'CF_Аренда'!G7-'CF_Аренда'!G8-'CF_Аренда'!G13-'CF_Аренда'!G20</f>
        <v/>
      </c>
      <c r="H22" s="47">
        <f>'CF_Аренда'!H7-'CF_Аренда'!H8-'CF_Аренда'!H13-'CF_Аренда'!H20</f>
        <v/>
      </c>
      <c r="I22" s="47">
        <f>'CF_Аренда'!I7-'CF_Аренда'!I8-'CF_Аренда'!I13-'CF_Аренда'!I20</f>
        <v/>
      </c>
      <c r="J22" s="47">
        <f>'CF_Аренда'!J7-'CF_Аренда'!J8-'CF_Аренда'!J13-'CF_Аренда'!J20</f>
        <v/>
      </c>
      <c r="K22" s="47">
        <f>'CF_Аренда'!K7-'CF_Аренда'!K8-'CF_Аренда'!K13-'CF_Аренда'!K20</f>
        <v/>
      </c>
      <c r="L22" s="47">
        <f>'CF_Аренда'!L7-'CF_Аренда'!L8-'CF_Аренда'!L13-'CF_Аренда'!L20</f>
        <v/>
      </c>
      <c r="M22" s="47">
        <f>'CF_Аренда'!M7-'CF_Аренда'!M8-'CF_Аренда'!M13-'CF_Аренда'!M20</f>
        <v/>
      </c>
      <c r="N22" s="47">
        <f>'CF_Аренда'!N7-'CF_Аренда'!N8-'CF_Аренда'!N13-'CF_Аренда'!N20</f>
        <v/>
      </c>
      <c r="O22" s="47">
        <f>'CF_Аренда'!O7-'CF_Аренда'!O8-'CF_Аренда'!O13-'CF_Аренда'!O20</f>
        <v/>
      </c>
      <c r="P22" s="47">
        <f>'CF_Аренда'!P7-'CF_Аренда'!P8-'CF_Аренда'!P13-'CF_Аренда'!P20</f>
        <v/>
      </c>
      <c r="Q22" s="47">
        <f>'CF_Аренда'!Q7-'CF_Аренда'!Q8-'CF_Аренда'!Q13-'CF_Аренда'!Q20</f>
        <v/>
      </c>
      <c r="R22" s="47">
        <f>'CF_Аренда'!R7-'CF_Аренда'!R8-'CF_Аренда'!R13-'CF_Аренда'!R20</f>
        <v/>
      </c>
      <c r="S22" s="47">
        <f>'CF_Аренда'!S7-'CF_Аренда'!S8-'CF_Аренда'!S13-'CF_Аренда'!S20</f>
        <v/>
      </c>
      <c r="T22" s="47">
        <f>'CF_Аренда'!T7-'CF_Аренда'!T8-'CF_Аренда'!T13-'CF_Аренда'!T20</f>
        <v/>
      </c>
      <c r="U22" s="47">
        <f>'CF_Аренда'!U7-'CF_Аренда'!U8-'CF_Аренда'!U13-'CF_Аренда'!U20</f>
        <v/>
      </c>
      <c r="V22" s="47">
        <f>'CF_Аренда'!V7-'CF_Аренда'!V8-'CF_Аренда'!V13-'CF_Аренда'!V20</f>
        <v/>
      </c>
      <c r="W22" s="47">
        <f>'CF_Аренда'!W7-'CF_Аренда'!W8-'CF_Аренда'!W13-'CF_Аренда'!W20</f>
        <v/>
      </c>
      <c r="X22" s="47">
        <f>'CF_Аренда'!X7-'CF_Аренда'!X8-'CF_Аренда'!X13-'CF_Аренда'!X20</f>
        <v/>
      </c>
      <c r="Y22" s="47">
        <f>'CF_Аренда'!Y7-'CF_Аренда'!Y8-'CF_Аренда'!Y13-'CF_Аренда'!Y20</f>
        <v/>
      </c>
      <c r="Z22" s="47">
        <f>'CF_Аренда'!Z7-'CF_Аренда'!Z8-'CF_Аренда'!Z13-'CF_Аренда'!Z20</f>
        <v/>
      </c>
      <c r="AA22" s="47">
        <f>'CF_Аренда'!AA7-'CF_Аренда'!AA8-'CF_Аренда'!AA13-'CF_Аренда'!AA20</f>
        <v/>
      </c>
      <c r="AB22" s="47">
        <f>'CF_Аренда'!AB7-'CF_Аренда'!AB8-'CF_Аренда'!AB13-'CF_Аренда'!AB20</f>
        <v/>
      </c>
      <c r="AC22" s="47">
        <f>'CF_Аренда'!AC7-'CF_Аренда'!AC8-'CF_Аренда'!AC13-'CF_Аренда'!AC20</f>
        <v/>
      </c>
      <c r="AD22" s="47">
        <f>'CF_Аренда'!AD7-'CF_Аренда'!AD8-'CF_Аренда'!AD13-'CF_Аренда'!AD20</f>
        <v/>
      </c>
      <c r="AE22" s="47">
        <f>'CF_Аренда'!AE7-'CF_Аренда'!AE8-'CF_Аренда'!AE13-'CF_Аренда'!AE20</f>
        <v/>
      </c>
      <c r="AF22" s="47">
        <f>'CF_Аренда'!AF7-'CF_Аренда'!AF8-'CF_Аренда'!AF13-'CF_Аренда'!AF20</f>
        <v/>
      </c>
      <c r="AG22" s="47">
        <f>'CF_Аренда'!AG7-'CF_Аренда'!AG8-'CF_Аренда'!AG13-'CF_Аренда'!AG20</f>
        <v/>
      </c>
      <c r="AH22" s="47">
        <f>'CF_Аренда'!AH7-'CF_Аренда'!AH8-'CF_Аренда'!AH13-'CF_Аренда'!AH20</f>
        <v/>
      </c>
      <c r="AI22" s="47">
        <f>'CF_Аренда'!AI7-'CF_Аренда'!AI8-'CF_Аренда'!AI13-'CF_Аренда'!AI20</f>
        <v/>
      </c>
      <c r="AJ22" s="47">
        <f>'CF_Аренда'!AJ7-'CF_Аренда'!AJ8-'CF_Аренда'!AJ13-'CF_Аренда'!AJ20</f>
        <v/>
      </c>
      <c r="AK22" s="47">
        <f>'CF_Аренда'!AK7-'CF_Аренда'!AK8-'CF_Аренда'!AK13-'CF_Аренда'!AK20</f>
        <v/>
      </c>
      <c r="AL22" s="47">
        <f>'CF_Аренда'!AL7-'CF_Аренда'!AL8-'CF_Аренда'!AL13-'CF_Аренда'!AL20</f>
        <v/>
      </c>
      <c r="AM22" s="47">
        <f>'CF_Аренда'!AM7-'CF_Аренда'!AM8-'CF_Аренда'!AM13-'CF_Аренда'!AM20</f>
        <v/>
      </c>
      <c r="AN22" s="47">
        <f>'CF_Аренда'!AN7-'CF_Аренда'!AN8-'CF_Аренда'!AN13-'CF_Аренда'!AN20</f>
        <v/>
      </c>
      <c r="AO22" s="47">
        <f>'CF_Аренда'!AO7-'CF_Аренда'!AO8-'CF_Аренда'!AO13-'CF_Аренда'!AO20</f>
        <v/>
      </c>
      <c r="AP22" s="47">
        <f>'CF_Аренда'!AP7-'CF_Аренда'!AP8-'CF_Аренда'!AP13-'CF_Аренда'!AP20</f>
        <v/>
      </c>
      <c r="AQ22" s="47">
        <f>'CF_Аренда'!AQ7-'CF_Аренда'!AQ8-'CF_Аренда'!AQ13-'CF_Аренда'!AQ20</f>
        <v/>
      </c>
      <c r="AR22" s="47">
        <f>'CF_Аренда'!AR7-'CF_Аренда'!AR8-'CF_Аренда'!AR13-'CF_Аренда'!AR20</f>
        <v/>
      </c>
      <c r="AS22" s="47">
        <f>'CF_Аренда'!AS7-'CF_Аренда'!AS8-'CF_Аренда'!AS13-'CF_Аренда'!AS20</f>
        <v/>
      </c>
      <c r="AT22" s="47">
        <f>'CF_Аренда'!AT7-'CF_Аренда'!AT8-'CF_Аренда'!AT13-'CF_Аренда'!AT20</f>
        <v/>
      </c>
      <c r="AU22" s="47">
        <f>'CF_Аренда'!AU7-'CF_Аренда'!AU8-'CF_Аренда'!AU13-'CF_Аренда'!AU20</f>
        <v/>
      </c>
      <c r="AV22" s="47">
        <f>'CF_Аренда'!AV7-'CF_Аренда'!AV8-'CF_Аренда'!AV13-'CF_Аренда'!AV20</f>
        <v/>
      </c>
      <c r="AW22" s="47">
        <f>'CF_Аренда'!AW7-'CF_Аренда'!AW8-'CF_Аренда'!AW13-'CF_Аренда'!AW20</f>
        <v/>
      </c>
      <c r="AX22" s="47">
        <f>'CF_Аренда'!AX7-'CF_Аренда'!AX8-'CF_Аренда'!AX13-'CF_Аренда'!AX20</f>
        <v/>
      </c>
      <c r="AY22" s="47">
        <f>'CF_Аренда'!AY7-'CF_Аренда'!AY8-'CF_Аренда'!AY13-'CF_Аренда'!AY20</f>
        <v/>
      </c>
      <c r="AZ22" s="47">
        <f>'CF_Аренда'!AZ7-'CF_Аренда'!AZ8-'CF_Аренда'!AZ13-'CF_Аренда'!AZ20</f>
        <v/>
      </c>
      <c r="BA22" s="47">
        <f>'CF_Аренда'!BA7-'CF_Аренда'!BA8-'CF_Аренда'!BA13-'CF_Аренда'!BA20</f>
        <v/>
      </c>
      <c r="BB22" s="47">
        <f>'CF_Аренда'!BB7-'CF_Аренда'!BB8-'CF_Аренда'!BB13-'CF_Аренда'!BB20</f>
        <v/>
      </c>
      <c r="BC22" s="47">
        <f>'CF_Аренда'!BC7-'CF_Аренда'!BC8-'CF_Аренда'!BC13-'CF_Аренда'!BC20</f>
        <v/>
      </c>
      <c r="BD22" s="47">
        <f>'CF_Аренда'!BD7-'CF_Аренда'!BD8-'CF_Аренда'!BD13-'CF_Аренда'!BD20</f>
        <v/>
      </c>
      <c r="BE22" s="47">
        <f>'CF_Аренда'!BE7-'CF_Аренда'!BE8-'CF_Аренда'!BE13-'CF_Аренда'!BE20</f>
        <v/>
      </c>
      <c r="BF22" s="47">
        <f>'CF_Аренда'!BF7-'CF_Аренда'!BF8-'CF_Аренда'!BF13-'CF_Аренда'!BF20</f>
        <v/>
      </c>
      <c r="BG22" s="47">
        <f>'CF_Аренда'!BG7-'CF_Аренда'!BG8-'CF_Аренда'!BG13-'CF_Аренда'!BG20</f>
        <v/>
      </c>
      <c r="BH22" s="47">
        <f>'CF_Аренда'!BH7-'CF_Аренда'!BH8-'CF_Аренда'!BH13-'CF_Аренда'!BH20</f>
        <v/>
      </c>
      <c r="BI22" s="47">
        <f>'CF_Аренда'!BI7-'CF_Аренда'!BI8-'CF_Аренда'!BI13-'CF_Аренда'!BI20</f>
        <v/>
      </c>
      <c r="BJ22" s="47">
        <f>'CF_Аренда'!BJ7-'CF_Аренда'!BJ8-'CF_Аренда'!BJ13-'CF_Аренда'!BJ20</f>
        <v/>
      </c>
      <c r="BK22" s="47">
        <f>'CF_Аренда'!BK7-'CF_Аренда'!BK8-'CF_Аренда'!BK13-'CF_Аренда'!BK20</f>
        <v/>
      </c>
      <c r="BL22" s="47">
        <f>'CF_Аренда'!BL7-'CF_Аренда'!BL8-'CF_Аренда'!BL13-'CF_Аренда'!BL20</f>
        <v/>
      </c>
      <c r="BM22" s="47">
        <f>'CF_Аренда'!BM7-'CF_Аренда'!BM8-'CF_Аренда'!BM13-'CF_Аренда'!BM20</f>
        <v/>
      </c>
      <c r="BN22" s="47">
        <f>'CF_Аренда'!BN7-'CF_Аренда'!BN8-'CF_Аренда'!BN13-'CF_Аренда'!BN20</f>
        <v/>
      </c>
      <c r="BO22" s="47">
        <f>'CF_Аренда'!BO7-'CF_Аренда'!BO8-'CF_Аренда'!BO13-'CF_Аренда'!BO20</f>
        <v/>
      </c>
      <c r="BP22" s="47">
        <f>'CF_Аренда'!BP7-'CF_Аренда'!BP8-'CF_Аренда'!BP13-'CF_Аренда'!BP20</f>
        <v/>
      </c>
      <c r="BQ22" s="47">
        <f>'CF_Аренда'!BQ7-'CF_Аренда'!BQ8-'CF_Аренда'!BQ13-'CF_Аренда'!BQ20</f>
        <v/>
      </c>
      <c r="BR22" s="47">
        <f>'CF_Аренда'!BR7-'CF_Аренда'!BR8-'CF_Аренда'!BR13-'CF_Аренда'!BR20</f>
        <v/>
      </c>
      <c r="BS22" s="47">
        <f>'CF_Аренда'!BS7-'CF_Аренда'!BS8-'CF_Аренда'!BS13-'CF_Аренда'!BS20</f>
        <v/>
      </c>
      <c r="BT22" s="47">
        <f>'CF_Аренда'!BT7-'CF_Аренда'!BT8-'CF_Аренда'!BT13-'CF_Аренда'!BT20</f>
        <v/>
      </c>
      <c r="BU22" s="47">
        <f>'CF_Аренда'!BU7-'CF_Аренда'!BU8-'CF_Аренда'!BU13-'CF_Аренда'!BU20</f>
        <v/>
      </c>
      <c r="BV22" s="47">
        <f>'CF_Аренда'!BV7-'CF_Аренда'!BV8-'CF_Аренда'!BV13-'CF_Аренда'!BV20</f>
        <v/>
      </c>
      <c r="BW22" s="47">
        <f>'CF_Аренда'!BW7-'CF_Аренда'!BW8-'CF_Аренда'!BW13-'CF_Аренда'!BW20</f>
        <v/>
      </c>
      <c r="BX22" s="47">
        <f>'CF_Аренда'!BX7-'CF_Аренда'!BX8-'CF_Аренда'!BX13-'CF_Аренда'!BX20</f>
        <v/>
      </c>
      <c r="BY22" s="47">
        <f>'CF_Аренда'!BY7-'CF_Аренда'!BY8-'CF_Аренда'!BY13-'CF_Аренда'!BY20</f>
        <v/>
      </c>
      <c r="BZ22" s="47">
        <f>'CF_Аренда'!BZ7-'CF_Аренда'!BZ8-'CF_Аренда'!BZ13-'CF_Аренда'!BZ20</f>
        <v/>
      </c>
      <c r="CA22" s="47">
        <f>'CF_Аренда'!CA7-'CF_Аренда'!CA8-'CF_Аренда'!CA13-'CF_Аренда'!CA20</f>
        <v/>
      </c>
      <c r="CB22" s="47">
        <f>'CF_Аренда'!CB7-'CF_Аренда'!CB8-'CF_Аренда'!CB13-'CF_Аренда'!CB20</f>
        <v/>
      </c>
      <c r="CC22" s="47">
        <f>'CF_Аренда'!CC7-'CF_Аренда'!CC8-'CF_Аренда'!CC13-'CF_Аренда'!CC20</f>
        <v/>
      </c>
      <c r="CD22" s="47">
        <f>'CF_Аренда'!CD7-'CF_Аренда'!CD8-'CF_Аренда'!CD13-'CF_Аренда'!CD20</f>
        <v/>
      </c>
      <c r="CE22" s="47">
        <f>'CF_Аренда'!CE7-'CF_Аренда'!CE8-'CF_Аренда'!CE13-'CF_Аренда'!CE20</f>
        <v/>
      </c>
      <c r="CF22" s="47">
        <f>'CF_Аренда'!CF7-'CF_Аренда'!CF8-'CF_Аренда'!CF13-'CF_Аренда'!CF20</f>
        <v/>
      </c>
      <c r="CG22" s="47">
        <f>'CF_Аренда'!CG7-'CF_Аренда'!CG8-'CF_Аренда'!CG13-'CF_Аренда'!CG20</f>
        <v/>
      </c>
      <c r="CH22" s="47">
        <f>'CF_Аренда'!CH7-'CF_Аренда'!CH8-'CF_Аренда'!CH13-'CF_Аренда'!CH20</f>
        <v/>
      </c>
      <c r="CI22" s="47">
        <f>'CF_Аренда'!CI7-'CF_Аренда'!CI8-'CF_Аренда'!CI13-'CF_Аренда'!CI20</f>
        <v/>
      </c>
      <c r="CJ22" s="47">
        <f>'CF_Аренда'!CJ7-'CF_Аренда'!CJ8-'CF_Аренда'!CJ13-'CF_Аренда'!CJ20</f>
        <v/>
      </c>
      <c r="CK22" s="47">
        <f>'CF_Аренда'!CK7-'CF_Аренда'!CK8-'CF_Аренда'!CK13-'CF_Аренда'!CK20</f>
        <v/>
      </c>
      <c r="CL22" s="47">
        <f>'CF_Аренда'!CL7-'CF_Аренда'!CL8-'CF_Аренда'!CL13-'CF_Аренда'!CL20</f>
        <v/>
      </c>
      <c r="CM22" s="47">
        <f>'CF_Аренда'!CM7-'CF_Аренда'!CM8-'CF_Аренда'!CM13-'CF_Аренда'!CM20</f>
        <v/>
      </c>
      <c r="CN22" s="47">
        <f>'CF_Аренда'!CN7-'CF_Аренда'!CN8-'CF_Аренда'!CN13-'CF_Аренда'!CN20</f>
        <v/>
      </c>
      <c r="CO22" s="47">
        <f>'CF_Аренда'!CO7-'CF_Аренда'!CO8-'CF_Аренда'!CO13-'CF_Аренда'!CO20</f>
        <v/>
      </c>
      <c r="CP22" s="47">
        <f>'CF_Аренда'!CP7-'CF_Аренда'!CP8-'CF_Аренда'!CP13-'CF_Аренда'!CP20</f>
        <v/>
      </c>
      <c r="CQ22" s="47">
        <f>'CF_Аренда'!CQ7-'CF_Аренда'!CQ8-'CF_Аренда'!CQ13-'CF_Аренда'!CQ20</f>
        <v/>
      </c>
      <c r="CR22" s="47">
        <f>'CF_Аренда'!CR7-'CF_Аренда'!CR8-'CF_Аренда'!CR13-'CF_Аренда'!CR20</f>
        <v/>
      </c>
      <c r="CS22" s="47">
        <f>'CF_Аренда'!CS7-'CF_Аренда'!CS8-'CF_Аренда'!CS13-'CF_Аренда'!CS20</f>
        <v/>
      </c>
      <c r="CT22" s="47">
        <f>'CF_Аренда'!CT7-'CF_Аренда'!CT8-'CF_Аренда'!CT13-'CF_Аренда'!CT20</f>
        <v/>
      </c>
      <c r="CU22" s="47">
        <f>'CF_Аренда'!CU7-'CF_Аренда'!CU8-'CF_Аренда'!CU13-'CF_Аренда'!CU20</f>
        <v/>
      </c>
      <c r="CV22" s="47">
        <f>'CF_Аренда'!CV7-'CF_Аренда'!CV8-'CF_Аренда'!CV13-'CF_Аренда'!CV20</f>
        <v/>
      </c>
      <c r="CW22" s="47">
        <f>'CF_Аренда'!CW7-'CF_Аренда'!CW8-'CF_Аренда'!CW13-'CF_Аренда'!CW20</f>
        <v/>
      </c>
      <c r="CX22" s="47">
        <f>'CF_Аренда'!CX7-'CF_Аренда'!CX8-'CF_Аренда'!CX13-'CF_Аренда'!CX20</f>
        <v/>
      </c>
      <c r="CY22" s="47">
        <f>'CF_Аренда'!CY7-'CF_Аренда'!CY8-'CF_Аренда'!CY13-'CF_Аренда'!CY20</f>
        <v/>
      </c>
      <c r="CZ22" s="47">
        <f>'CF_Аренда'!CZ7-'CF_Аренда'!CZ8-'CF_Аренда'!CZ13-'CF_Аренда'!CZ20</f>
        <v/>
      </c>
      <c r="DA22" s="47">
        <f>'CF_Аренда'!DA7-'CF_Аренда'!DA8-'CF_Аренда'!DA13-'CF_Аренда'!DA20</f>
        <v/>
      </c>
      <c r="DB22" s="47">
        <f>'CF_Аренда'!DB7-'CF_Аренда'!DB8-'CF_Аренда'!DB13-'CF_Аренда'!DB20</f>
        <v/>
      </c>
      <c r="DC22" s="47">
        <f>'CF_Аренда'!DC7-'CF_Аренда'!DC8-'CF_Аренда'!DC13-'CF_Аренда'!DC20</f>
        <v/>
      </c>
      <c r="DD22" s="47">
        <f>'CF_Аренда'!DD7-'CF_Аренда'!DD8-'CF_Аренда'!DD13-'CF_Аренда'!DD20</f>
        <v/>
      </c>
      <c r="DE22" s="47">
        <f>'CF_Аренда'!DE7-'CF_Аренда'!DE8-'CF_Аренда'!DE13-'CF_Аренда'!DE20</f>
        <v/>
      </c>
      <c r="DF22" s="47">
        <f>'CF_Аренда'!DF7-'CF_Аренда'!DF8-'CF_Аренда'!DF13-'CF_Аренда'!DF20</f>
        <v/>
      </c>
      <c r="DG22" s="47">
        <f>'CF_Аренда'!DG7-'CF_Аренда'!DG8-'CF_Аренда'!DG13-'CF_Аренда'!DG20</f>
        <v/>
      </c>
      <c r="DH22" s="47">
        <f>'CF_Аренда'!DH7-'CF_Аренда'!DH8-'CF_Аренда'!DH13-'CF_Аренда'!DH20</f>
        <v/>
      </c>
      <c r="DI22" s="47">
        <f>'CF_Аренда'!DI7-'CF_Аренда'!DI8-'CF_Аренда'!DI13-'CF_Аренда'!DI20</f>
        <v/>
      </c>
      <c r="DJ22" s="47">
        <f>'CF_Аренда'!DJ7-'CF_Аренда'!DJ8-'CF_Аренда'!DJ13-'CF_Аренда'!DJ20</f>
        <v/>
      </c>
      <c r="DK22" s="47">
        <f>'CF_Аренда'!DK7-'CF_Аренда'!DK8-'CF_Аренда'!DK13-'CF_Аренда'!DK20</f>
        <v/>
      </c>
      <c r="DL22" s="47">
        <f>'CF_Аренда'!DL7-'CF_Аренда'!DL8-'CF_Аренда'!DL13-'CF_Аренда'!DL20</f>
        <v/>
      </c>
      <c r="DM22" s="47">
        <f>'CF_Аренда'!DM7-'CF_Аренда'!DM8-'CF_Аренда'!DM13-'CF_Аренда'!DM20</f>
        <v/>
      </c>
    </row>
    <row r="23">
      <c r="A23" s="36" t="inlineStr">
        <is>
          <t>Выдано нарастающим</t>
        </is>
      </c>
      <c r="B23" s="10" t="n"/>
      <c r="C23" s="37" t="inlineStr">
        <is>
          <t>млн ₽</t>
        </is>
      </c>
      <c r="D23" s="47">
        <f>'CF_Аренда'!D17</f>
        <v/>
      </c>
      <c r="E23" s="47">
        <f>'CF_Аренда'!D23+'CF_Аренда'!E17</f>
        <v/>
      </c>
      <c r="F23" s="47">
        <f>'CF_Аренда'!E23+'CF_Аренда'!F17</f>
        <v/>
      </c>
      <c r="G23" s="47">
        <f>'CF_Аренда'!F23+'CF_Аренда'!G17</f>
        <v/>
      </c>
      <c r="H23" s="47">
        <f>'CF_Аренда'!G23+'CF_Аренда'!H17</f>
        <v/>
      </c>
      <c r="I23" s="47">
        <f>'CF_Аренда'!H23+'CF_Аренда'!I17</f>
        <v/>
      </c>
      <c r="J23" s="47">
        <f>'CF_Аренда'!I23+'CF_Аренда'!J17</f>
        <v/>
      </c>
      <c r="K23" s="47">
        <f>'CF_Аренда'!J23+'CF_Аренда'!K17</f>
        <v/>
      </c>
      <c r="L23" s="47">
        <f>'CF_Аренда'!K23+'CF_Аренда'!L17</f>
        <v/>
      </c>
      <c r="M23" s="47">
        <f>'CF_Аренда'!L23+'CF_Аренда'!M17</f>
        <v/>
      </c>
      <c r="N23" s="47">
        <f>'CF_Аренда'!M23+'CF_Аренда'!N17</f>
        <v/>
      </c>
      <c r="O23" s="47">
        <f>'CF_Аренда'!N23+'CF_Аренда'!O17</f>
        <v/>
      </c>
      <c r="P23" s="47">
        <f>'CF_Аренда'!O23+'CF_Аренда'!P17</f>
        <v/>
      </c>
      <c r="Q23" s="47">
        <f>'CF_Аренда'!P23+'CF_Аренда'!Q17</f>
        <v/>
      </c>
      <c r="R23" s="47">
        <f>'CF_Аренда'!Q23+'CF_Аренда'!R17</f>
        <v/>
      </c>
      <c r="S23" s="47">
        <f>'CF_Аренда'!R23+'CF_Аренда'!S17</f>
        <v/>
      </c>
      <c r="T23" s="47">
        <f>'CF_Аренда'!S23+'CF_Аренда'!T17</f>
        <v/>
      </c>
      <c r="U23" s="47">
        <f>'CF_Аренда'!T23+'CF_Аренда'!U17</f>
        <v/>
      </c>
      <c r="V23" s="47">
        <f>'CF_Аренда'!U23+'CF_Аренда'!V17</f>
        <v/>
      </c>
      <c r="W23" s="47">
        <f>'CF_Аренда'!V23+'CF_Аренда'!W17</f>
        <v/>
      </c>
      <c r="X23" s="47">
        <f>'CF_Аренда'!W23+'CF_Аренда'!X17</f>
        <v/>
      </c>
      <c r="Y23" s="47">
        <f>'CF_Аренда'!X23+'CF_Аренда'!Y17</f>
        <v/>
      </c>
      <c r="Z23" s="47">
        <f>'CF_Аренда'!Y23+'CF_Аренда'!Z17</f>
        <v/>
      </c>
      <c r="AA23" s="47">
        <f>'CF_Аренда'!Z23+'CF_Аренда'!AA17</f>
        <v/>
      </c>
      <c r="AB23" s="47">
        <f>'CF_Аренда'!AA23+'CF_Аренда'!AB17</f>
        <v/>
      </c>
      <c r="AC23" s="47">
        <f>'CF_Аренда'!AB23+'CF_Аренда'!AC17</f>
        <v/>
      </c>
      <c r="AD23" s="47">
        <f>'CF_Аренда'!AC23+'CF_Аренда'!AD17</f>
        <v/>
      </c>
      <c r="AE23" s="47">
        <f>'CF_Аренда'!AD23+'CF_Аренда'!AE17</f>
        <v/>
      </c>
      <c r="AF23" s="47">
        <f>'CF_Аренда'!AE23+'CF_Аренда'!AF17</f>
        <v/>
      </c>
      <c r="AG23" s="47">
        <f>'CF_Аренда'!AF23+'CF_Аренда'!AG17</f>
        <v/>
      </c>
      <c r="AH23" s="47">
        <f>'CF_Аренда'!AG23+'CF_Аренда'!AH17</f>
        <v/>
      </c>
      <c r="AI23" s="47">
        <f>'CF_Аренда'!AH23+'CF_Аренда'!AI17</f>
        <v/>
      </c>
      <c r="AJ23" s="47">
        <f>'CF_Аренда'!AI23+'CF_Аренда'!AJ17</f>
        <v/>
      </c>
      <c r="AK23" s="47">
        <f>'CF_Аренда'!AJ23+'CF_Аренда'!AK17</f>
        <v/>
      </c>
      <c r="AL23" s="47">
        <f>'CF_Аренда'!AK23+'CF_Аренда'!AL17</f>
        <v/>
      </c>
      <c r="AM23" s="47">
        <f>'CF_Аренда'!AL23+'CF_Аренда'!AM17</f>
        <v/>
      </c>
      <c r="AN23" s="47">
        <f>'CF_Аренда'!AM23+'CF_Аренда'!AN17</f>
        <v/>
      </c>
      <c r="AO23" s="47">
        <f>'CF_Аренда'!AN23+'CF_Аренда'!AO17</f>
        <v/>
      </c>
      <c r="AP23" s="47">
        <f>'CF_Аренда'!AO23+'CF_Аренда'!AP17</f>
        <v/>
      </c>
      <c r="AQ23" s="47">
        <f>'CF_Аренда'!AP23+'CF_Аренда'!AQ17</f>
        <v/>
      </c>
      <c r="AR23" s="47">
        <f>'CF_Аренда'!AQ23+'CF_Аренда'!AR17</f>
        <v/>
      </c>
      <c r="AS23" s="47">
        <f>'CF_Аренда'!AR23+'CF_Аренда'!AS17</f>
        <v/>
      </c>
      <c r="AT23" s="47">
        <f>'CF_Аренда'!AS23+'CF_Аренда'!AT17</f>
        <v/>
      </c>
      <c r="AU23" s="47">
        <f>'CF_Аренда'!AT23+'CF_Аренда'!AU17</f>
        <v/>
      </c>
      <c r="AV23" s="47">
        <f>'CF_Аренда'!AU23+'CF_Аренда'!AV17</f>
        <v/>
      </c>
      <c r="AW23" s="47">
        <f>'CF_Аренда'!AV23+'CF_Аренда'!AW17</f>
        <v/>
      </c>
      <c r="AX23" s="47">
        <f>'CF_Аренда'!AW23+'CF_Аренда'!AX17</f>
        <v/>
      </c>
      <c r="AY23" s="47">
        <f>'CF_Аренда'!AX23+'CF_Аренда'!AY17</f>
        <v/>
      </c>
      <c r="AZ23" s="47">
        <f>'CF_Аренда'!AY23+'CF_Аренда'!AZ17</f>
        <v/>
      </c>
      <c r="BA23" s="47">
        <f>'CF_Аренда'!AZ23+'CF_Аренда'!BA17</f>
        <v/>
      </c>
      <c r="BB23" s="47">
        <f>'CF_Аренда'!BA23+'CF_Аренда'!BB17</f>
        <v/>
      </c>
      <c r="BC23" s="47">
        <f>'CF_Аренда'!BB23+'CF_Аренда'!BC17</f>
        <v/>
      </c>
      <c r="BD23" s="47">
        <f>'CF_Аренда'!BC23+'CF_Аренда'!BD17</f>
        <v/>
      </c>
      <c r="BE23" s="47">
        <f>'CF_Аренда'!BD23+'CF_Аренда'!BE17</f>
        <v/>
      </c>
      <c r="BF23" s="47">
        <f>'CF_Аренда'!BE23+'CF_Аренда'!BF17</f>
        <v/>
      </c>
      <c r="BG23" s="47">
        <f>'CF_Аренда'!BF23+'CF_Аренда'!BG17</f>
        <v/>
      </c>
      <c r="BH23" s="47">
        <f>'CF_Аренда'!BG23+'CF_Аренда'!BH17</f>
        <v/>
      </c>
      <c r="BI23" s="47">
        <f>'CF_Аренда'!BH23+'CF_Аренда'!BI17</f>
        <v/>
      </c>
      <c r="BJ23" s="47">
        <f>'CF_Аренда'!BI23+'CF_Аренда'!BJ17</f>
        <v/>
      </c>
      <c r="BK23" s="47">
        <f>'CF_Аренда'!BJ23+'CF_Аренда'!BK17</f>
        <v/>
      </c>
      <c r="BL23" s="47">
        <f>'CF_Аренда'!BK23+'CF_Аренда'!BL17</f>
        <v/>
      </c>
      <c r="BM23" s="47">
        <f>'CF_Аренда'!BL23+'CF_Аренда'!BM17</f>
        <v/>
      </c>
      <c r="BN23" s="47">
        <f>'CF_Аренда'!BM23+'CF_Аренда'!BN17</f>
        <v/>
      </c>
      <c r="BO23" s="47">
        <f>'CF_Аренда'!BN23+'CF_Аренда'!BO17</f>
        <v/>
      </c>
      <c r="BP23" s="47">
        <f>'CF_Аренда'!BO23+'CF_Аренда'!BP17</f>
        <v/>
      </c>
      <c r="BQ23" s="47">
        <f>'CF_Аренда'!BP23+'CF_Аренда'!BQ17</f>
        <v/>
      </c>
      <c r="BR23" s="47">
        <f>'CF_Аренда'!BQ23+'CF_Аренда'!BR17</f>
        <v/>
      </c>
      <c r="BS23" s="47">
        <f>'CF_Аренда'!BR23+'CF_Аренда'!BS17</f>
        <v/>
      </c>
      <c r="BT23" s="47">
        <f>'CF_Аренда'!BS23+'CF_Аренда'!BT17</f>
        <v/>
      </c>
      <c r="BU23" s="47">
        <f>'CF_Аренда'!BT23+'CF_Аренда'!BU17</f>
        <v/>
      </c>
      <c r="BV23" s="47">
        <f>'CF_Аренда'!BU23+'CF_Аренда'!BV17</f>
        <v/>
      </c>
      <c r="BW23" s="47">
        <f>'CF_Аренда'!BV23+'CF_Аренда'!BW17</f>
        <v/>
      </c>
      <c r="BX23" s="47">
        <f>'CF_Аренда'!BW23+'CF_Аренда'!BX17</f>
        <v/>
      </c>
      <c r="BY23" s="47">
        <f>'CF_Аренда'!BX23+'CF_Аренда'!BY17</f>
        <v/>
      </c>
      <c r="BZ23" s="47">
        <f>'CF_Аренда'!BY23+'CF_Аренда'!BZ17</f>
        <v/>
      </c>
      <c r="CA23" s="47">
        <f>'CF_Аренда'!BZ23+'CF_Аренда'!CA17</f>
        <v/>
      </c>
      <c r="CB23" s="47">
        <f>'CF_Аренда'!CA23+'CF_Аренда'!CB17</f>
        <v/>
      </c>
      <c r="CC23" s="47">
        <f>'CF_Аренда'!CB23+'CF_Аренда'!CC17</f>
        <v/>
      </c>
      <c r="CD23" s="47">
        <f>'CF_Аренда'!CC23+'CF_Аренда'!CD17</f>
        <v/>
      </c>
      <c r="CE23" s="47">
        <f>'CF_Аренда'!CD23+'CF_Аренда'!CE17</f>
        <v/>
      </c>
      <c r="CF23" s="47">
        <f>'CF_Аренда'!CE23+'CF_Аренда'!CF17</f>
        <v/>
      </c>
      <c r="CG23" s="47">
        <f>'CF_Аренда'!CF23+'CF_Аренда'!CG17</f>
        <v/>
      </c>
      <c r="CH23" s="47">
        <f>'CF_Аренда'!CG23+'CF_Аренда'!CH17</f>
        <v/>
      </c>
      <c r="CI23" s="47">
        <f>'CF_Аренда'!CH23+'CF_Аренда'!CI17</f>
        <v/>
      </c>
      <c r="CJ23" s="47">
        <f>'CF_Аренда'!CI23+'CF_Аренда'!CJ17</f>
        <v/>
      </c>
      <c r="CK23" s="47">
        <f>'CF_Аренда'!CJ23+'CF_Аренда'!CK17</f>
        <v/>
      </c>
      <c r="CL23" s="47">
        <f>'CF_Аренда'!CK23+'CF_Аренда'!CL17</f>
        <v/>
      </c>
      <c r="CM23" s="47">
        <f>'CF_Аренда'!CL23+'CF_Аренда'!CM17</f>
        <v/>
      </c>
      <c r="CN23" s="47">
        <f>'CF_Аренда'!CM23+'CF_Аренда'!CN17</f>
        <v/>
      </c>
      <c r="CO23" s="47">
        <f>'CF_Аренда'!CN23+'CF_Аренда'!CO17</f>
        <v/>
      </c>
      <c r="CP23" s="47">
        <f>'CF_Аренда'!CO23+'CF_Аренда'!CP17</f>
        <v/>
      </c>
      <c r="CQ23" s="47">
        <f>'CF_Аренда'!CP23+'CF_Аренда'!CQ17</f>
        <v/>
      </c>
      <c r="CR23" s="47">
        <f>'CF_Аренда'!CQ23+'CF_Аренда'!CR17</f>
        <v/>
      </c>
      <c r="CS23" s="47">
        <f>'CF_Аренда'!CR23+'CF_Аренда'!CS17</f>
        <v/>
      </c>
      <c r="CT23" s="47">
        <f>'CF_Аренда'!CS23+'CF_Аренда'!CT17</f>
        <v/>
      </c>
      <c r="CU23" s="47">
        <f>'CF_Аренда'!CT23+'CF_Аренда'!CU17</f>
        <v/>
      </c>
      <c r="CV23" s="47">
        <f>'CF_Аренда'!CU23+'CF_Аренда'!CV17</f>
        <v/>
      </c>
      <c r="CW23" s="47">
        <f>'CF_Аренда'!CV23+'CF_Аренда'!CW17</f>
        <v/>
      </c>
      <c r="CX23" s="47">
        <f>'CF_Аренда'!CW23+'CF_Аренда'!CX17</f>
        <v/>
      </c>
      <c r="CY23" s="47">
        <f>'CF_Аренда'!CX23+'CF_Аренда'!CY17</f>
        <v/>
      </c>
      <c r="CZ23" s="47">
        <f>'CF_Аренда'!CY23+'CF_Аренда'!CZ17</f>
        <v/>
      </c>
      <c r="DA23" s="47">
        <f>'CF_Аренда'!CZ23+'CF_Аренда'!DA17</f>
        <v/>
      </c>
      <c r="DB23" s="47">
        <f>'CF_Аренда'!DA23+'CF_Аренда'!DB17</f>
        <v/>
      </c>
      <c r="DC23" s="47">
        <f>'CF_Аренда'!DB23+'CF_Аренда'!DC17</f>
        <v/>
      </c>
      <c r="DD23" s="47">
        <f>'CF_Аренда'!DC23+'CF_Аренда'!DD17</f>
        <v/>
      </c>
      <c r="DE23" s="47">
        <f>'CF_Аренда'!DD23+'CF_Аренда'!DE17</f>
        <v/>
      </c>
      <c r="DF23" s="47">
        <f>'CF_Аренда'!DE23+'CF_Аренда'!DF17</f>
        <v/>
      </c>
      <c r="DG23" s="47">
        <f>'CF_Аренда'!DF23+'CF_Аренда'!DG17</f>
        <v/>
      </c>
      <c r="DH23" s="47">
        <f>'CF_Аренда'!DG23+'CF_Аренда'!DH17</f>
        <v/>
      </c>
      <c r="DI23" s="47">
        <f>'CF_Аренда'!DH23+'CF_Аренда'!DI17</f>
        <v/>
      </c>
      <c r="DJ23" s="47">
        <f>'CF_Аренда'!DI23+'CF_Аренда'!DJ17</f>
        <v/>
      </c>
      <c r="DK23" s="47">
        <f>'CF_Аренда'!DJ23+'CF_Аренда'!DK17</f>
        <v/>
      </c>
      <c r="DL23" s="47">
        <f>'CF_Аренда'!DK23+'CF_Аренда'!DL17</f>
        <v/>
      </c>
      <c r="DM23" s="47">
        <f>'CF_Аренда'!DL23+'CF_Аренда'!DM17</f>
        <v/>
      </c>
    </row>
    <row r="24">
      <c r="A24" t="inlineStr">
        <is>
          <t>Первая выдача, № месяца</t>
        </is>
      </c>
      <c r="B24" s="30">
        <f>COUNTIF('CF_Аренда'!D23:DM23,0)</f>
        <v/>
      </c>
      <c r="C24" s="3" t="inlineStr">
        <is>
          <t>№</t>
        </is>
      </c>
    </row>
    <row r="25">
      <c r="A25" t="inlineStr">
        <is>
          <t>Срок кредита, № месяца</t>
        </is>
      </c>
      <c r="B25" s="30">
        <f>MAX('CF_Аренда'!$B$24+'Вводные'!$B$60*12,'СРОКИ'!$B$6)</f>
        <v/>
      </c>
      <c r="C25" s="3" t="inlineStr">
        <is>
          <t>№</t>
        </is>
      </c>
    </row>
    <row r="26">
      <c r="A26" s="36" t="inlineStr">
        <is>
          <t>Баллон к сроку (фиксируется в месяц ввода)</t>
        </is>
      </c>
      <c r="B26" s="10" t="n"/>
      <c r="C26" s="37" t="inlineStr">
        <is>
          <t>млн ₽</t>
        </is>
      </c>
      <c r="D26" s="47">
        <f>IF('СРОКИ'!D10='СРОКИ'!$B$6,'CF_Аренда'!D21*'Вводные'!$B$61,0)</f>
        <v/>
      </c>
      <c r="E26" s="47">
        <f>IF('СРОКИ'!E10='СРОКИ'!$B$6,'CF_Аренда'!E21*'Вводные'!$B$61,'CF_Аренда'!D26)</f>
        <v/>
      </c>
      <c r="F26" s="47">
        <f>IF('СРОКИ'!F10='СРОКИ'!$B$6,'CF_Аренда'!F21*'Вводные'!$B$61,'CF_Аренда'!E26)</f>
        <v/>
      </c>
      <c r="G26" s="47">
        <f>IF('СРОКИ'!G10='СРОКИ'!$B$6,'CF_Аренда'!G21*'Вводные'!$B$61,'CF_Аренда'!F26)</f>
        <v/>
      </c>
      <c r="H26" s="47">
        <f>IF('СРОКИ'!H10='СРОКИ'!$B$6,'CF_Аренда'!H21*'Вводные'!$B$61,'CF_Аренда'!G26)</f>
        <v/>
      </c>
      <c r="I26" s="47">
        <f>IF('СРОКИ'!I10='СРОКИ'!$B$6,'CF_Аренда'!I21*'Вводные'!$B$61,'CF_Аренда'!H26)</f>
        <v/>
      </c>
      <c r="J26" s="47">
        <f>IF('СРОКИ'!J10='СРОКИ'!$B$6,'CF_Аренда'!J21*'Вводные'!$B$61,'CF_Аренда'!I26)</f>
        <v/>
      </c>
      <c r="K26" s="47">
        <f>IF('СРОКИ'!K10='СРОКИ'!$B$6,'CF_Аренда'!K21*'Вводные'!$B$61,'CF_Аренда'!J26)</f>
        <v/>
      </c>
      <c r="L26" s="47">
        <f>IF('СРОКИ'!L10='СРОКИ'!$B$6,'CF_Аренда'!L21*'Вводные'!$B$61,'CF_Аренда'!K26)</f>
        <v/>
      </c>
      <c r="M26" s="47">
        <f>IF('СРОКИ'!M10='СРОКИ'!$B$6,'CF_Аренда'!M21*'Вводные'!$B$61,'CF_Аренда'!L26)</f>
        <v/>
      </c>
      <c r="N26" s="47">
        <f>IF('СРОКИ'!N10='СРОКИ'!$B$6,'CF_Аренда'!N21*'Вводные'!$B$61,'CF_Аренда'!M26)</f>
        <v/>
      </c>
      <c r="O26" s="47">
        <f>IF('СРОКИ'!O10='СРОКИ'!$B$6,'CF_Аренда'!O21*'Вводные'!$B$61,'CF_Аренда'!N26)</f>
        <v/>
      </c>
      <c r="P26" s="47">
        <f>IF('СРОКИ'!P10='СРОКИ'!$B$6,'CF_Аренда'!P21*'Вводные'!$B$61,'CF_Аренда'!O26)</f>
        <v/>
      </c>
      <c r="Q26" s="47">
        <f>IF('СРОКИ'!Q10='СРОКИ'!$B$6,'CF_Аренда'!Q21*'Вводные'!$B$61,'CF_Аренда'!P26)</f>
        <v/>
      </c>
      <c r="R26" s="47">
        <f>IF('СРОКИ'!R10='СРОКИ'!$B$6,'CF_Аренда'!R21*'Вводные'!$B$61,'CF_Аренда'!Q26)</f>
        <v/>
      </c>
      <c r="S26" s="47">
        <f>IF('СРОКИ'!S10='СРОКИ'!$B$6,'CF_Аренда'!S21*'Вводные'!$B$61,'CF_Аренда'!R26)</f>
        <v/>
      </c>
      <c r="T26" s="47">
        <f>IF('СРОКИ'!T10='СРОКИ'!$B$6,'CF_Аренда'!T21*'Вводные'!$B$61,'CF_Аренда'!S26)</f>
        <v/>
      </c>
      <c r="U26" s="47">
        <f>IF('СРОКИ'!U10='СРОКИ'!$B$6,'CF_Аренда'!U21*'Вводные'!$B$61,'CF_Аренда'!T26)</f>
        <v/>
      </c>
      <c r="V26" s="47">
        <f>IF('СРОКИ'!V10='СРОКИ'!$B$6,'CF_Аренда'!V21*'Вводные'!$B$61,'CF_Аренда'!U26)</f>
        <v/>
      </c>
      <c r="W26" s="47">
        <f>IF('СРОКИ'!W10='СРОКИ'!$B$6,'CF_Аренда'!W21*'Вводные'!$B$61,'CF_Аренда'!V26)</f>
        <v/>
      </c>
      <c r="X26" s="47">
        <f>IF('СРОКИ'!X10='СРОКИ'!$B$6,'CF_Аренда'!X21*'Вводные'!$B$61,'CF_Аренда'!W26)</f>
        <v/>
      </c>
      <c r="Y26" s="47">
        <f>IF('СРОКИ'!Y10='СРОКИ'!$B$6,'CF_Аренда'!Y21*'Вводные'!$B$61,'CF_Аренда'!X26)</f>
        <v/>
      </c>
      <c r="Z26" s="47">
        <f>IF('СРОКИ'!Z10='СРОКИ'!$B$6,'CF_Аренда'!Z21*'Вводные'!$B$61,'CF_Аренда'!Y26)</f>
        <v/>
      </c>
      <c r="AA26" s="47">
        <f>IF('СРОКИ'!AA10='СРОКИ'!$B$6,'CF_Аренда'!AA21*'Вводные'!$B$61,'CF_Аренда'!Z26)</f>
        <v/>
      </c>
      <c r="AB26" s="47">
        <f>IF('СРОКИ'!AB10='СРОКИ'!$B$6,'CF_Аренда'!AB21*'Вводные'!$B$61,'CF_Аренда'!AA26)</f>
        <v/>
      </c>
      <c r="AC26" s="47">
        <f>IF('СРОКИ'!AC10='СРОКИ'!$B$6,'CF_Аренда'!AC21*'Вводные'!$B$61,'CF_Аренда'!AB26)</f>
        <v/>
      </c>
      <c r="AD26" s="47">
        <f>IF('СРОКИ'!AD10='СРОКИ'!$B$6,'CF_Аренда'!AD21*'Вводные'!$B$61,'CF_Аренда'!AC26)</f>
        <v/>
      </c>
      <c r="AE26" s="47">
        <f>IF('СРОКИ'!AE10='СРОКИ'!$B$6,'CF_Аренда'!AE21*'Вводные'!$B$61,'CF_Аренда'!AD26)</f>
        <v/>
      </c>
      <c r="AF26" s="47">
        <f>IF('СРОКИ'!AF10='СРОКИ'!$B$6,'CF_Аренда'!AF21*'Вводные'!$B$61,'CF_Аренда'!AE26)</f>
        <v/>
      </c>
      <c r="AG26" s="47">
        <f>IF('СРОКИ'!AG10='СРОКИ'!$B$6,'CF_Аренда'!AG21*'Вводные'!$B$61,'CF_Аренда'!AF26)</f>
        <v/>
      </c>
      <c r="AH26" s="47">
        <f>IF('СРОКИ'!AH10='СРОКИ'!$B$6,'CF_Аренда'!AH21*'Вводные'!$B$61,'CF_Аренда'!AG26)</f>
        <v/>
      </c>
      <c r="AI26" s="47">
        <f>IF('СРОКИ'!AI10='СРОКИ'!$B$6,'CF_Аренда'!AI21*'Вводные'!$B$61,'CF_Аренда'!AH26)</f>
        <v/>
      </c>
      <c r="AJ26" s="47">
        <f>IF('СРОКИ'!AJ10='СРОКИ'!$B$6,'CF_Аренда'!AJ21*'Вводные'!$B$61,'CF_Аренда'!AI26)</f>
        <v/>
      </c>
      <c r="AK26" s="47">
        <f>IF('СРОКИ'!AK10='СРОКИ'!$B$6,'CF_Аренда'!AK21*'Вводные'!$B$61,'CF_Аренда'!AJ26)</f>
        <v/>
      </c>
      <c r="AL26" s="47">
        <f>IF('СРОКИ'!AL10='СРОКИ'!$B$6,'CF_Аренда'!AL21*'Вводные'!$B$61,'CF_Аренда'!AK26)</f>
        <v/>
      </c>
      <c r="AM26" s="47">
        <f>IF('СРОКИ'!AM10='СРОКИ'!$B$6,'CF_Аренда'!AM21*'Вводные'!$B$61,'CF_Аренда'!AL26)</f>
        <v/>
      </c>
      <c r="AN26" s="47">
        <f>IF('СРОКИ'!AN10='СРОКИ'!$B$6,'CF_Аренда'!AN21*'Вводные'!$B$61,'CF_Аренда'!AM26)</f>
        <v/>
      </c>
      <c r="AO26" s="47">
        <f>IF('СРОКИ'!AO10='СРОКИ'!$B$6,'CF_Аренда'!AO21*'Вводные'!$B$61,'CF_Аренда'!AN26)</f>
        <v/>
      </c>
      <c r="AP26" s="47">
        <f>IF('СРОКИ'!AP10='СРОКИ'!$B$6,'CF_Аренда'!AP21*'Вводные'!$B$61,'CF_Аренда'!AO26)</f>
        <v/>
      </c>
      <c r="AQ26" s="47">
        <f>IF('СРОКИ'!AQ10='СРОКИ'!$B$6,'CF_Аренда'!AQ21*'Вводные'!$B$61,'CF_Аренда'!AP26)</f>
        <v/>
      </c>
      <c r="AR26" s="47">
        <f>IF('СРОКИ'!AR10='СРОКИ'!$B$6,'CF_Аренда'!AR21*'Вводные'!$B$61,'CF_Аренда'!AQ26)</f>
        <v/>
      </c>
      <c r="AS26" s="47">
        <f>IF('СРОКИ'!AS10='СРОКИ'!$B$6,'CF_Аренда'!AS21*'Вводные'!$B$61,'CF_Аренда'!AR26)</f>
        <v/>
      </c>
      <c r="AT26" s="47">
        <f>IF('СРОКИ'!AT10='СРОКИ'!$B$6,'CF_Аренда'!AT21*'Вводные'!$B$61,'CF_Аренда'!AS26)</f>
        <v/>
      </c>
      <c r="AU26" s="47">
        <f>IF('СРОКИ'!AU10='СРОКИ'!$B$6,'CF_Аренда'!AU21*'Вводные'!$B$61,'CF_Аренда'!AT26)</f>
        <v/>
      </c>
      <c r="AV26" s="47">
        <f>IF('СРОКИ'!AV10='СРОКИ'!$B$6,'CF_Аренда'!AV21*'Вводные'!$B$61,'CF_Аренда'!AU26)</f>
        <v/>
      </c>
      <c r="AW26" s="47">
        <f>IF('СРОКИ'!AW10='СРОКИ'!$B$6,'CF_Аренда'!AW21*'Вводные'!$B$61,'CF_Аренда'!AV26)</f>
        <v/>
      </c>
      <c r="AX26" s="47">
        <f>IF('СРОКИ'!AX10='СРОКИ'!$B$6,'CF_Аренда'!AX21*'Вводные'!$B$61,'CF_Аренда'!AW26)</f>
        <v/>
      </c>
      <c r="AY26" s="47">
        <f>IF('СРОКИ'!AY10='СРОКИ'!$B$6,'CF_Аренда'!AY21*'Вводные'!$B$61,'CF_Аренда'!AX26)</f>
        <v/>
      </c>
      <c r="AZ26" s="47">
        <f>IF('СРОКИ'!AZ10='СРОКИ'!$B$6,'CF_Аренда'!AZ21*'Вводные'!$B$61,'CF_Аренда'!AY26)</f>
        <v/>
      </c>
      <c r="BA26" s="47">
        <f>IF('СРОКИ'!BA10='СРОКИ'!$B$6,'CF_Аренда'!BA21*'Вводные'!$B$61,'CF_Аренда'!AZ26)</f>
        <v/>
      </c>
      <c r="BB26" s="47">
        <f>IF('СРОКИ'!BB10='СРОКИ'!$B$6,'CF_Аренда'!BB21*'Вводные'!$B$61,'CF_Аренда'!BA26)</f>
        <v/>
      </c>
      <c r="BC26" s="47">
        <f>IF('СРОКИ'!BC10='СРОКИ'!$B$6,'CF_Аренда'!BC21*'Вводные'!$B$61,'CF_Аренда'!BB26)</f>
        <v/>
      </c>
      <c r="BD26" s="47">
        <f>IF('СРОКИ'!BD10='СРОКИ'!$B$6,'CF_Аренда'!BD21*'Вводные'!$B$61,'CF_Аренда'!BC26)</f>
        <v/>
      </c>
      <c r="BE26" s="47">
        <f>IF('СРОКИ'!BE10='СРОКИ'!$B$6,'CF_Аренда'!BE21*'Вводные'!$B$61,'CF_Аренда'!BD26)</f>
        <v/>
      </c>
      <c r="BF26" s="47">
        <f>IF('СРОКИ'!BF10='СРОКИ'!$B$6,'CF_Аренда'!BF21*'Вводные'!$B$61,'CF_Аренда'!BE26)</f>
        <v/>
      </c>
      <c r="BG26" s="47">
        <f>IF('СРОКИ'!BG10='СРОКИ'!$B$6,'CF_Аренда'!BG21*'Вводные'!$B$61,'CF_Аренда'!BF26)</f>
        <v/>
      </c>
      <c r="BH26" s="47">
        <f>IF('СРОКИ'!BH10='СРОКИ'!$B$6,'CF_Аренда'!BH21*'Вводные'!$B$61,'CF_Аренда'!BG26)</f>
        <v/>
      </c>
      <c r="BI26" s="47">
        <f>IF('СРОКИ'!BI10='СРОКИ'!$B$6,'CF_Аренда'!BI21*'Вводные'!$B$61,'CF_Аренда'!BH26)</f>
        <v/>
      </c>
      <c r="BJ26" s="47">
        <f>IF('СРОКИ'!BJ10='СРОКИ'!$B$6,'CF_Аренда'!BJ21*'Вводные'!$B$61,'CF_Аренда'!BI26)</f>
        <v/>
      </c>
      <c r="BK26" s="47">
        <f>IF('СРОКИ'!BK10='СРОКИ'!$B$6,'CF_Аренда'!BK21*'Вводные'!$B$61,'CF_Аренда'!BJ26)</f>
        <v/>
      </c>
      <c r="BL26" s="47">
        <f>IF('СРОКИ'!BL10='СРОКИ'!$B$6,'CF_Аренда'!BL21*'Вводные'!$B$61,'CF_Аренда'!BK26)</f>
        <v/>
      </c>
      <c r="BM26" s="47">
        <f>IF('СРОКИ'!BM10='СРОКИ'!$B$6,'CF_Аренда'!BM21*'Вводные'!$B$61,'CF_Аренда'!BL26)</f>
        <v/>
      </c>
      <c r="BN26" s="47">
        <f>IF('СРОКИ'!BN10='СРОКИ'!$B$6,'CF_Аренда'!BN21*'Вводные'!$B$61,'CF_Аренда'!BM26)</f>
        <v/>
      </c>
      <c r="BO26" s="47">
        <f>IF('СРОКИ'!BO10='СРОКИ'!$B$6,'CF_Аренда'!BO21*'Вводные'!$B$61,'CF_Аренда'!BN26)</f>
        <v/>
      </c>
      <c r="BP26" s="47">
        <f>IF('СРОКИ'!BP10='СРОКИ'!$B$6,'CF_Аренда'!BP21*'Вводные'!$B$61,'CF_Аренда'!BO26)</f>
        <v/>
      </c>
      <c r="BQ26" s="47">
        <f>IF('СРОКИ'!BQ10='СРОКИ'!$B$6,'CF_Аренда'!BQ21*'Вводные'!$B$61,'CF_Аренда'!BP26)</f>
        <v/>
      </c>
      <c r="BR26" s="47">
        <f>IF('СРОКИ'!BR10='СРОКИ'!$B$6,'CF_Аренда'!BR21*'Вводные'!$B$61,'CF_Аренда'!BQ26)</f>
        <v/>
      </c>
      <c r="BS26" s="47">
        <f>IF('СРОКИ'!BS10='СРОКИ'!$B$6,'CF_Аренда'!BS21*'Вводные'!$B$61,'CF_Аренда'!BR26)</f>
        <v/>
      </c>
      <c r="BT26" s="47">
        <f>IF('СРОКИ'!BT10='СРОКИ'!$B$6,'CF_Аренда'!BT21*'Вводные'!$B$61,'CF_Аренда'!BS26)</f>
        <v/>
      </c>
      <c r="BU26" s="47">
        <f>IF('СРОКИ'!BU10='СРОКИ'!$B$6,'CF_Аренда'!BU21*'Вводные'!$B$61,'CF_Аренда'!BT26)</f>
        <v/>
      </c>
      <c r="BV26" s="47">
        <f>IF('СРОКИ'!BV10='СРОКИ'!$B$6,'CF_Аренда'!BV21*'Вводные'!$B$61,'CF_Аренда'!BU26)</f>
        <v/>
      </c>
      <c r="BW26" s="47">
        <f>IF('СРОКИ'!BW10='СРОКИ'!$B$6,'CF_Аренда'!BW21*'Вводные'!$B$61,'CF_Аренда'!BV26)</f>
        <v/>
      </c>
      <c r="BX26" s="47">
        <f>IF('СРОКИ'!BX10='СРОКИ'!$B$6,'CF_Аренда'!BX21*'Вводные'!$B$61,'CF_Аренда'!BW26)</f>
        <v/>
      </c>
      <c r="BY26" s="47">
        <f>IF('СРОКИ'!BY10='СРОКИ'!$B$6,'CF_Аренда'!BY21*'Вводные'!$B$61,'CF_Аренда'!BX26)</f>
        <v/>
      </c>
      <c r="BZ26" s="47">
        <f>IF('СРОКИ'!BZ10='СРОКИ'!$B$6,'CF_Аренда'!BZ21*'Вводные'!$B$61,'CF_Аренда'!BY26)</f>
        <v/>
      </c>
      <c r="CA26" s="47">
        <f>IF('СРОКИ'!CA10='СРОКИ'!$B$6,'CF_Аренда'!CA21*'Вводные'!$B$61,'CF_Аренда'!BZ26)</f>
        <v/>
      </c>
      <c r="CB26" s="47">
        <f>IF('СРОКИ'!CB10='СРОКИ'!$B$6,'CF_Аренда'!CB21*'Вводные'!$B$61,'CF_Аренда'!CA26)</f>
        <v/>
      </c>
      <c r="CC26" s="47">
        <f>IF('СРОКИ'!CC10='СРОКИ'!$B$6,'CF_Аренда'!CC21*'Вводные'!$B$61,'CF_Аренда'!CB26)</f>
        <v/>
      </c>
      <c r="CD26" s="47">
        <f>IF('СРОКИ'!CD10='СРОКИ'!$B$6,'CF_Аренда'!CD21*'Вводные'!$B$61,'CF_Аренда'!CC26)</f>
        <v/>
      </c>
      <c r="CE26" s="47">
        <f>IF('СРОКИ'!CE10='СРОКИ'!$B$6,'CF_Аренда'!CE21*'Вводные'!$B$61,'CF_Аренда'!CD26)</f>
        <v/>
      </c>
      <c r="CF26" s="47">
        <f>IF('СРОКИ'!CF10='СРОКИ'!$B$6,'CF_Аренда'!CF21*'Вводные'!$B$61,'CF_Аренда'!CE26)</f>
        <v/>
      </c>
      <c r="CG26" s="47">
        <f>IF('СРОКИ'!CG10='СРОКИ'!$B$6,'CF_Аренда'!CG21*'Вводные'!$B$61,'CF_Аренда'!CF26)</f>
        <v/>
      </c>
      <c r="CH26" s="47">
        <f>IF('СРОКИ'!CH10='СРОКИ'!$B$6,'CF_Аренда'!CH21*'Вводные'!$B$61,'CF_Аренда'!CG26)</f>
        <v/>
      </c>
      <c r="CI26" s="47">
        <f>IF('СРОКИ'!CI10='СРОКИ'!$B$6,'CF_Аренда'!CI21*'Вводные'!$B$61,'CF_Аренда'!CH26)</f>
        <v/>
      </c>
      <c r="CJ26" s="47">
        <f>IF('СРОКИ'!CJ10='СРОКИ'!$B$6,'CF_Аренда'!CJ21*'Вводные'!$B$61,'CF_Аренда'!CI26)</f>
        <v/>
      </c>
      <c r="CK26" s="47">
        <f>IF('СРОКИ'!CK10='СРОКИ'!$B$6,'CF_Аренда'!CK21*'Вводные'!$B$61,'CF_Аренда'!CJ26)</f>
        <v/>
      </c>
      <c r="CL26" s="47">
        <f>IF('СРОКИ'!CL10='СРОКИ'!$B$6,'CF_Аренда'!CL21*'Вводные'!$B$61,'CF_Аренда'!CK26)</f>
        <v/>
      </c>
      <c r="CM26" s="47">
        <f>IF('СРОКИ'!CM10='СРОКИ'!$B$6,'CF_Аренда'!CM21*'Вводные'!$B$61,'CF_Аренда'!CL26)</f>
        <v/>
      </c>
      <c r="CN26" s="47">
        <f>IF('СРОКИ'!CN10='СРОКИ'!$B$6,'CF_Аренда'!CN21*'Вводные'!$B$61,'CF_Аренда'!CM26)</f>
        <v/>
      </c>
      <c r="CO26" s="47">
        <f>IF('СРОКИ'!CO10='СРОКИ'!$B$6,'CF_Аренда'!CO21*'Вводные'!$B$61,'CF_Аренда'!CN26)</f>
        <v/>
      </c>
      <c r="CP26" s="47">
        <f>IF('СРОКИ'!CP10='СРОКИ'!$B$6,'CF_Аренда'!CP21*'Вводные'!$B$61,'CF_Аренда'!CO26)</f>
        <v/>
      </c>
      <c r="CQ26" s="47">
        <f>IF('СРОКИ'!CQ10='СРОКИ'!$B$6,'CF_Аренда'!CQ21*'Вводные'!$B$61,'CF_Аренда'!CP26)</f>
        <v/>
      </c>
      <c r="CR26" s="47">
        <f>IF('СРОКИ'!CR10='СРОКИ'!$B$6,'CF_Аренда'!CR21*'Вводные'!$B$61,'CF_Аренда'!CQ26)</f>
        <v/>
      </c>
      <c r="CS26" s="47">
        <f>IF('СРОКИ'!CS10='СРОКИ'!$B$6,'CF_Аренда'!CS21*'Вводные'!$B$61,'CF_Аренда'!CR26)</f>
        <v/>
      </c>
      <c r="CT26" s="47">
        <f>IF('СРОКИ'!CT10='СРОКИ'!$B$6,'CF_Аренда'!CT21*'Вводные'!$B$61,'CF_Аренда'!CS26)</f>
        <v/>
      </c>
      <c r="CU26" s="47">
        <f>IF('СРОКИ'!CU10='СРОКИ'!$B$6,'CF_Аренда'!CU21*'Вводные'!$B$61,'CF_Аренда'!CT26)</f>
        <v/>
      </c>
      <c r="CV26" s="47">
        <f>IF('СРОКИ'!CV10='СРОКИ'!$B$6,'CF_Аренда'!CV21*'Вводные'!$B$61,'CF_Аренда'!CU26)</f>
        <v/>
      </c>
      <c r="CW26" s="47">
        <f>IF('СРОКИ'!CW10='СРОКИ'!$B$6,'CF_Аренда'!CW21*'Вводные'!$B$61,'CF_Аренда'!CV26)</f>
        <v/>
      </c>
      <c r="CX26" s="47">
        <f>IF('СРОКИ'!CX10='СРОКИ'!$B$6,'CF_Аренда'!CX21*'Вводные'!$B$61,'CF_Аренда'!CW26)</f>
        <v/>
      </c>
      <c r="CY26" s="47">
        <f>IF('СРОКИ'!CY10='СРОКИ'!$B$6,'CF_Аренда'!CY21*'Вводные'!$B$61,'CF_Аренда'!CX26)</f>
        <v/>
      </c>
      <c r="CZ26" s="47">
        <f>IF('СРОКИ'!CZ10='СРОКИ'!$B$6,'CF_Аренда'!CZ21*'Вводные'!$B$61,'CF_Аренда'!CY26)</f>
        <v/>
      </c>
      <c r="DA26" s="47">
        <f>IF('СРОКИ'!DA10='СРОКИ'!$B$6,'CF_Аренда'!DA21*'Вводные'!$B$61,'CF_Аренда'!CZ26)</f>
        <v/>
      </c>
      <c r="DB26" s="47">
        <f>IF('СРОКИ'!DB10='СРОКИ'!$B$6,'CF_Аренда'!DB21*'Вводные'!$B$61,'CF_Аренда'!DA26)</f>
        <v/>
      </c>
      <c r="DC26" s="47">
        <f>IF('СРОКИ'!DC10='СРОКИ'!$B$6,'CF_Аренда'!DC21*'Вводные'!$B$61,'CF_Аренда'!DB26)</f>
        <v/>
      </c>
      <c r="DD26" s="47">
        <f>IF('СРОКИ'!DD10='СРОКИ'!$B$6,'CF_Аренда'!DD21*'Вводные'!$B$61,'CF_Аренда'!DC26)</f>
        <v/>
      </c>
      <c r="DE26" s="47">
        <f>IF('СРОКИ'!DE10='СРОКИ'!$B$6,'CF_Аренда'!DE21*'Вводные'!$B$61,'CF_Аренда'!DD26)</f>
        <v/>
      </c>
      <c r="DF26" s="47">
        <f>IF('СРОКИ'!DF10='СРОКИ'!$B$6,'CF_Аренда'!DF21*'Вводные'!$B$61,'CF_Аренда'!DE26)</f>
        <v/>
      </c>
      <c r="DG26" s="47">
        <f>IF('СРОКИ'!DG10='СРОКИ'!$B$6,'CF_Аренда'!DG21*'Вводные'!$B$61,'CF_Аренда'!DF26)</f>
        <v/>
      </c>
      <c r="DH26" s="47">
        <f>IF('СРОКИ'!DH10='СРОКИ'!$B$6,'CF_Аренда'!DH21*'Вводные'!$B$61,'CF_Аренда'!DG26)</f>
        <v/>
      </c>
      <c r="DI26" s="47">
        <f>IF('СРОКИ'!DI10='СРОКИ'!$B$6,'CF_Аренда'!DI21*'Вводные'!$B$61,'CF_Аренда'!DH26)</f>
        <v/>
      </c>
      <c r="DJ26" s="47">
        <f>IF('СРОКИ'!DJ10='СРОКИ'!$B$6,'CF_Аренда'!DJ21*'Вводные'!$B$61,'CF_Аренда'!DI26)</f>
        <v/>
      </c>
      <c r="DK26" s="47">
        <f>IF('СРОКИ'!DK10='СРОКИ'!$B$6,'CF_Аренда'!DK21*'Вводные'!$B$61,'CF_Аренда'!DJ26)</f>
        <v/>
      </c>
      <c r="DL26" s="47">
        <f>IF('СРОКИ'!DL10='СРОКИ'!$B$6,'CF_Аренда'!DL21*'Вводные'!$B$61,'CF_Аренда'!DK26)</f>
        <v/>
      </c>
      <c r="DM26" s="47">
        <f>IF('СРОКИ'!DM10='СРОКИ'!$B$6,'CF_Аренда'!DM21*'Вводные'!$B$61,'CF_Аренда'!DL26)</f>
        <v/>
      </c>
    </row>
    <row r="27">
      <c r="A27" s="36" t="inlineStr">
        <is>
          <t>Месяцев до срока</t>
        </is>
      </c>
      <c r="B27" s="10" t="n"/>
      <c r="C27" s="37" t="inlineStr">
        <is>
          <t>мес.</t>
        </is>
      </c>
      <c r="D27" s="38">
        <f>'CF_Аренда'!$B$25-'СРОКИ'!D10</f>
        <v/>
      </c>
      <c r="E27" s="38">
        <f>'CF_Аренда'!$B$25-'СРОКИ'!E10</f>
        <v/>
      </c>
      <c r="F27" s="38">
        <f>'CF_Аренда'!$B$25-'СРОКИ'!F10</f>
        <v/>
      </c>
      <c r="G27" s="38">
        <f>'CF_Аренда'!$B$25-'СРОКИ'!G10</f>
        <v/>
      </c>
      <c r="H27" s="38">
        <f>'CF_Аренда'!$B$25-'СРОКИ'!H10</f>
        <v/>
      </c>
      <c r="I27" s="38">
        <f>'CF_Аренда'!$B$25-'СРОКИ'!I10</f>
        <v/>
      </c>
      <c r="J27" s="38">
        <f>'CF_Аренда'!$B$25-'СРОКИ'!J10</f>
        <v/>
      </c>
      <c r="K27" s="38">
        <f>'CF_Аренда'!$B$25-'СРОКИ'!K10</f>
        <v/>
      </c>
      <c r="L27" s="38">
        <f>'CF_Аренда'!$B$25-'СРОКИ'!L10</f>
        <v/>
      </c>
      <c r="M27" s="38">
        <f>'CF_Аренда'!$B$25-'СРОКИ'!M10</f>
        <v/>
      </c>
      <c r="N27" s="38">
        <f>'CF_Аренда'!$B$25-'СРОКИ'!N10</f>
        <v/>
      </c>
      <c r="O27" s="38">
        <f>'CF_Аренда'!$B$25-'СРОКИ'!O10</f>
        <v/>
      </c>
      <c r="P27" s="38">
        <f>'CF_Аренда'!$B$25-'СРОКИ'!P10</f>
        <v/>
      </c>
      <c r="Q27" s="38">
        <f>'CF_Аренда'!$B$25-'СРОКИ'!Q10</f>
        <v/>
      </c>
      <c r="R27" s="38">
        <f>'CF_Аренда'!$B$25-'СРОКИ'!R10</f>
        <v/>
      </c>
      <c r="S27" s="38">
        <f>'CF_Аренда'!$B$25-'СРОКИ'!S10</f>
        <v/>
      </c>
      <c r="T27" s="38">
        <f>'CF_Аренда'!$B$25-'СРОКИ'!T10</f>
        <v/>
      </c>
      <c r="U27" s="38">
        <f>'CF_Аренда'!$B$25-'СРОКИ'!U10</f>
        <v/>
      </c>
      <c r="V27" s="38">
        <f>'CF_Аренда'!$B$25-'СРОКИ'!V10</f>
        <v/>
      </c>
      <c r="W27" s="38">
        <f>'CF_Аренда'!$B$25-'СРОКИ'!W10</f>
        <v/>
      </c>
      <c r="X27" s="38">
        <f>'CF_Аренда'!$B$25-'СРОКИ'!X10</f>
        <v/>
      </c>
      <c r="Y27" s="38">
        <f>'CF_Аренда'!$B$25-'СРОКИ'!Y10</f>
        <v/>
      </c>
      <c r="Z27" s="38">
        <f>'CF_Аренда'!$B$25-'СРОКИ'!Z10</f>
        <v/>
      </c>
      <c r="AA27" s="38">
        <f>'CF_Аренда'!$B$25-'СРОКИ'!AA10</f>
        <v/>
      </c>
      <c r="AB27" s="38">
        <f>'CF_Аренда'!$B$25-'СРОКИ'!AB10</f>
        <v/>
      </c>
      <c r="AC27" s="38">
        <f>'CF_Аренда'!$B$25-'СРОКИ'!AC10</f>
        <v/>
      </c>
      <c r="AD27" s="38">
        <f>'CF_Аренда'!$B$25-'СРОКИ'!AD10</f>
        <v/>
      </c>
      <c r="AE27" s="38">
        <f>'CF_Аренда'!$B$25-'СРОКИ'!AE10</f>
        <v/>
      </c>
      <c r="AF27" s="38">
        <f>'CF_Аренда'!$B$25-'СРОКИ'!AF10</f>
        <v/>
      </c>
      <c r="AG27" s="38">
        <f>'CF_Аренда'!$B$25-'СРОКИ'!AG10</f>
        <v/>
      </c>
      <c r="AH27" s="38">
        <f>'CF_Аренда'!$B$25-'СРОКИ'!AH10</f>
        <v/>
      </c>
      <c r="AI27" s="38">
        <f>'CF_Аренда'!$B$25-'СРОКИ'!AI10</f>
        <v/>
      </c>
      <c r="AJ27" s="38">
        <f>'CF_Аренда'!$B$25-'СРОКИ'!AJ10</f>
        <v/>
      </c>
      <c r="AK27" s="38">
        <f>'CF_Аренда'!$B$25-'СРОКИ'!AK10</f>
        <v/>
      </c>
      <c r="AL27" s="38">
        <f>'CF_Аренда'!$B$25-'СРОКИ'!AL10</f>
        <v/>
      </c>
      <c r="AM27" s="38">
        <f>'CF_Аренда'!$B$25-'СРОКИ'!AM10</f>
        <v/>
      </c>
      <c r="AN27" s="38">
        <f>'CF_Аренда'!$B$25-'СРОКИ'!AN10</f>
        <v/>
      </c>
      <c r="AO27" s="38">
        <f>'CF_Аренда'!$B$25-'СРОКИ'!AO10</f>
        <v/>
      </c>
      <c r="AP27" s="38">
        <f>'CF_Аренда'!$B$25-'СРОКИ'!AP10</f>
        <v/>
      </c>
      <c r="AQ27" s="38">
        <f>'CF_Аренда'!$B$25-'СРОКИ'!AQ10</f>
        <v/>
      </c>
      <c r="AR27" s="38">
        <f>'CF_Аренда'!$B$25-'СРОКИ'!AR10</f>
        <v/>
      </c>
      <c r="AS27" s="38">
        <f>'CF_Аренда'!$B$25-'СРОКИ'!AS10</f>
        <v/>
      </c>
      <c r="AT27" s="38">
        <f>'CF_Аренда'!$B$25-'СРОКИ'!AT10</f>
        <v/>
      </c>
      <c r="AU27" s="38">
        <f>'CF_Аренда'!$B$25-'СРОКИ'!AU10</f>
        <v/>
      </c>
      <c r="AV27" s="38">
        <f>'CF_Аренда'!$B$25-'СРОКИ'!AV10</f>
        <v/>
      </c>
      <c r="AW27" s="38">
        <f>'CF_Аренда'!$B$25-'СРОКИ'!AW10</f>
        <v/>
      </c>
      <c r="AX27" s="38">
        <f>'CF_Аренда'!$B$25-'СРОКИ'!AX10</f>
        <v/>
      </c>
      <c r="AY27" s="38">
        <f>'CF_Аренда'!$B$25-'СРОКИ'!AY10</f>
        <v/>
      </c>
      <c r="AZ27" s="38">
        <f>'CF_Аренда'!$B$25-'СРОКИ'!AZ10</f>
        <v/>
      </c>
      <c r="BA27" s="38">
        <f>'CF_Аренда'!$B$25-'СРОКИ'!BA10</f>
        <v/>
      </c>
      <c r="BB27" s="38">
        <f>'CF_Аренда'!$B$25-'СРОКИ'!BB10</f>
        <v/>
      </c>
      <c r="BC27" s="38">
        <f>'CF_Аренда'!$B$25-'СРОКИ'!BC10</f>
        <v/>
      </c>
      <c r="BD27" s="38">
        <f>'CF_Аренда'!$B$25-'СРОКИ'!BD10</f>
        <v/>
      </c>
      <c r="BE27" s="38">
        <f>'CF_Аренда'!$B$25-'СРОКИ'!BE10</f>
        <v/>
      </c>
      <c r="BF27" s="38">
        <f>'CF_Аренда'!$B$25-'СРОКИ'!BF10</f>
        <v/>
      </c>
      <c r="BG27" s="38">
        <f>'CF_Аренда'!$B$25-'СРОКИ'!BG10</f>
        <v/>
      </c>
      <c r="BH27" s="38">
        <f>'CF_Аренда'!$B$25-'СРОКИ'!BH10</f>
        <v/>
      </c>
      <c r="BI27" s="38">
        <f>'CF_Аренда'!$B$25-'СРОКИ'!BI10</f>
        <v/>
      </c>
      <c r="BJ27" s="38">
        <f>'CF_Аренда'!$B$25-'СРОКИ'!BJ10</f>
        <v/>
      </c>
      <c r="BK27" s="38">
        <f>'CF_Аренда'!$B$25-'СРОКИ'!BK10</f>
        <v/>
      </c>
      <c r="BL27" s="38">
        <f>'CF_Аренда'!$B$25-'СРОКИ'!BL10</f>
        <v/>
      </c>
      <c r="BM27" s="38">
        <f>'CF_Аренда'!$B$25-'СРОКИ'!BM10</f>
        <v/>
      </c>
      <c r="BN27" s="38">
        <f>'CF_Аренда'!$B$25-'СРОКИ'!BN10</f>
        <v/>
      </c>
      <c r="BO27" s="38">
        <f>'CF_Аренда'!$B$25-'СРОКИ'!BO10</f>
        <v/>
      </c>
      <c r="BP27" s="38">
        <f>'CF_Аренда'!$B$25-'СРОКИ'!BP10</f>
        <v/>
      </c>
      <c r="BQ27" s="38">
        <f>'CF_Аренда'!$B$25-'СРОКИ'!BQ10</f>
        <v/>
      </c>
      <c r="BR27" s="38">
        <f>'CF_Аренда'!$B$25-'СРОКИ'!BR10</f>
        <v/>
      </c>
      <c r="BS27" s="38">
        <f>'CF_Аренда'!$B$25-'СРОКИ'!BS10</f>
        <v/>
      </c>
      <c r="BT27" s="38">
        <f>'CF_Аренда'!$B$25-'СРОКИ'!BT10</f>
        <v/>
      </c>
      <c r="BU27" s="38">
        <f>'CF_Аренда'!$B$25-'СРОКИ'!BU10</f>
        <v/>
      </c>
      <c r="BV27" s="38">
        <f>'CF_Аренда'!$B$25-'СРОКИ'!BV10</f>
        <v/>
      </c>
      <c r="BW27" s="38">
        <f>'CF_Аренда'!$B$25-'СРОКИ'!BW10</f>
        <v/>
      </c>
      <c r="BX27" s="38">
        <f>'CF_Аренда'!$B$25-'СРОКИ'!BX10</f>
        <v/>
      </c>
      <c r="BY27" s="38">
        <f>'CF_Аренда'!$B$25-'СРОКИ'!BY10</f>
        <v/>
      </c>
      <c r="BZ27" s="38">
        <f>'CF_Аренда'!$B$25-'СРОКИ'!BZ10</f>
        <v/>
      </c>
      <c r="CA27" s="38">
        <f>'CF_Аренда'!$B$25-'СРОКИ'!CA10</f>
        <v/>
      </c>
      <c r="CB27" s="38">
        <f>'CF_Аренда'!$B$25-'СРОКИ'!CB10</f>
        <v/>
      </c>
      <c r="CC27" s="38">
        <f>'CF_Аренда'!$B$25-'СРОКИ'!CC10</f>
        <v/>
      </c>
      <c r="CD27" s="38">
        <f>'CF_Аренда'!$B$25-'СРОКИ'!CD10</f>
        <v/>
      </c>
      <c r="CE27" s="38">
        <f>'CF_Аренда'!$B$25-'СРОКИ'!CE10</f>
        <v/>
      </c>
      <c r="CF27" s="38">
        <f>'CF_Аренда'!$B$25-'СРОКИ'!CF10</f>
        <v/>
      </c>
      <c r="CG27" s="38">
        <f>'CF_Аренда'!$B$25-'СРОКИ'!CG10</f>
        <v/>
      </c>
      <c r="CH27" s="38">
        <f>'CF_Аренда'!$B$25-'СРОКИ'!CH10</f>
        <v/>
      </c>
      <c r="CI27" s="38">
        <f>'CF_Аренда'!$B$25-'СРОКИ'!CI10</f>
        <v/>
      </c>
      <c r="CJ27" s="38">
        <f>'CF_Аренда'!$B$25-'СРОКИ'!CJ10</f>
        <v/>
      </c>
      <c r="CK27" s="38">
        <f>'CF_Аренда'!$B$25-'СРОКИ'!CK10</f>
        <v/>
      </c>
      <c r="CL27" s="38">
        <f>'CF_Аренда'!$B$25-'СРОКИ'!CL10</f>
        <v/>
      </c>
      <c r="CM27" s="38">
        <f>'CF_Аренда'!$B$25-'СРОКИ'!CM10</f>
        <v/>
      </c>
      <c r="CN27" s="38">
        <f>'CF_Аренда'!$B$25-'СРОКИ'!CN10</f>
        <v/>
      </c>
      <c r="CO27" s="38">
        <f>'CF_Аренда'!$B$25-'СРОКИ'!CO10</f>
        <v/>
      </c>
      <c r="CP27" s="38">
        <f>'CF_Аренда'!$B$25-'СРОКИ'!CP10</f>
        <v/>
      </c>
      <c r="CQ27" s="38">
        <f>'CF_Аренда'!$B$25-'СРОКИ'!CQ10</f>
        <v/>
      </c>
      <c r="CR27" s="38">
        <f>'CF_Аренда'!$B$25-'СРОКИ'!CR10</f>
        <v/>
      </c>
      <c r="CS27" s="38">
        <f>'CF_Аренда'!$B$25-'СРОКИ'!CS10</f>
        <v/>
      </c>
      <c r="CT27" s="38">
        <f>'CF_Аренда'!$B$25-'СРОКИ'!CT10</f>
        <v/>
      </c>
      <c r="CU27" s="38">
        <f>'CF_Аренда'!$B$25-'СРОКИ'!CU10</f>
        <v/>
      </c>
      <c r="CV27" s="38">
        <f>'CF_Аренда'!$B$25-'СРОКИ'!CV10</f>
        <v/>
      </c>
      <c r="CW27" s="38">
        <f>'CF_Аренда'!$B$25-'СРОКИ'!CW10</f>
        <v/>
      </c>
      <c r="CX27" s="38">
        <f>'CF_Аренда'!$B$25-'СРОКИ'!CX10</f>
        <v/>
      </c>
      <c r="CY27" s="38">
        <f>'CF_Аренда'!$B$25-'СРОКИ'!CY10</f>
        <v/>
      </c>
      <c r="CZ27" s="38">
        <f>'CF_Аренда'!$B$25-'СРОКИ'!CZ10</f>
        <v/>
      </c>
      <c r="DA27" s="38">
        <f>'CF_Аренда'!$B$25-'СРОКИ'!DA10</f>
        <v/>
      </c>
      <c r="DB27" s="38">
        <f>'CF_Аренда'!$B$25-'СРОКИ'!DB10</f>
        <v/>
      </c>
      <c r="DC27" s="38">
        <f>'CF_Аренда'!$B$25-'СРОКИ'!DC10</f>
        <v/>
      </c>
      <c r="DD27" s="38">
        <f>'CF_Аренда'!$B$25-'СРОКИ'!DD10</f>
        <v/>
      </c>
      <c r="DE27" s="38">
        <f>'CF_Аренда'!$B$25-'СРОКИ'!DE10</f>
        <v/>
      </c>
      <c r="DF27" s="38">
        <f>'CF_Аренда'!$B$25-'СРОКИ'!DF10</f>
        <v/>
      </c>
      <c r="DG27" s="38">
        <f>'CF_Аренда'!$B$25-'СРОКИ'!DG10</f>
        <v/>
      </c>
      <c r="DH27" s="38">
        <f>'CF_Аренда'!$B$25-'СРОКИ'!DH10</f>
        <v/>
      </c>
      <c r="DI27" s="38">
        <f>'CF_Аренда'!$B$25-'СРОКИ'!DI10</f>
        <v/>
      </c>
      <c r="DJ27" s="38">
        <f>'CF_Аренда'!$B$25-'СРОКИ'!DJ10</f>
        <v/>
      </c>
      <c r="DK27" s="38">
        <f>'CF_Аренда'!$B$25-'СРОКИ'!DK10</f>
        <v/>
      </c>
      <c r="DL27" s="38">
        <f>'CF_Аренда'!$B$25-'СРОКИ'!DL10</f>
        <v/>
      </c>
      <c r="DM27" s="38">
        <f>'CF_Аренда'!$B$25-'СРОКИ'!DM10</f>
        <v/>
      </c>
    </row>
    <row r="28">
      <c r="A28" s="36" t="inlineStr">
        <is>
          <t>Плановый платёж (аннуитет к баллону)</t>
        </is>
      </c>
      <c r="B28" s="40">
        <f>SUM(D28:DM28)</f>
        <v/>
      </c>
      <c r="C28" s="37" t="inlineStr">
        <is>
          <t>млн ₽</t>
        </is>
      </c>
      <c r="D28" s="47">
        <f>IF(OR('СРОКИ'!D10&lt;='СРОКИ'!$B$6,'CF_Аренда'!D27&lt;=0),0,('CF_Аренда'!D21-'CF_Аренда'!D26/(1+'Ставки'!D6/12)^('CF_Аренда'!D27))*('Ставки'!D6/12)/(1-(1+'Ставки'!D6/12)^(-'CF_Аренда'!D27)))</f>
        <v/>
      </c>
      <c r="E28" s="47">
        <f>IF(OR('СРОКИ'!E10&lt;='СРОКИ'!$B$6,'CF_Аренда'!E27&lt;=0),0,('CF_Аренда'!E21-'CF_Аренда'!E26/(1+'Ставки'!E6/12)^('CF_Аренда'!E27))*('Ставки'!E6/12)/(1-(1+'Ставки'!E6/12)^(-'CF_Аренда'!E27)))</f>
        <v/>
      </c>
      <c r="F28" s="47">
        <f>IF(OR('СРОКИ'!F10&lt;='СРОКИ'!$B$6,'CF_Аренда'!F27&lt;=0),0,('CF_Аренда'!F21-'CF_Аренда'!F26/(1+'Ставки'!F6/12)^('CF_Аренда'!F27))*('Ставки'!F6/12)/(1-(1+'Ставки'!F6/12)^(-'CF_Аренда'!F27)))</f>
        <v/>
      </c>
      <c r="G28" s="47">
        <f>IF(OR('СРОКИ'!G10&lt;='СРОКИ'!$B$6,'CF_Аренда'!G27&lt;=0),0,('CF_Аренда'!G21-'CF_Аренда'!G26/(1+'Ставки'!G6/12)^('CF_Аренда'!G27))*('Ставки'!G6/12)/(1-(1+'Ставки'!G6/12)^(-'CF_Аренда'!G27)))</f>
        <v/>
      </c>
      <c r="H28" s="47">
        <f>IF(OR('СРОКИ'!H10&lt;='СРОКИ'!$B$6,'CF_Аренда'!H27&lt;=0),0,('CF_Аренда'!H21-'CF_Аренда'!H26/(1+'Ставки'!H6/12)^('CF_Аренда'!H27))*('Ставки'!H6/12)/(1-(1+'Ставки'!H6/12)^(-'CF_Аренда'!H27)))</f>
        <v/>
      </c>
      <c r="I28" s="47">
        <f>IF(OR('СРОКИ'!I10&lt;='СРОКИ'!$B$6,'CF_Аренда'!I27&lt;=0),0,('CF_Аренда'!I21-'CF_Аренда'!I26/(1+'Ставки'!I6/12)^('CF_Аренда'!I27))*('Ставки'!I6/12)/(1-(1+'Ставки'!I6/12)^(-'CF_Аренда'!I27)))</f>
        <v/>
      </c>
      <c r="J28" s="47">
        <f>IF(OR('СРОКИ'!J10&lt;='СРОКИ'!$B$6,'CF_Аренда'!J27&lt;=0),0,('CF_Аренда'!J21-'CF_Аренда'!J26/(1+'Ставки'!J6/12)^('CF_Аренда'!J27))*('Ставки'!J6/12)/(1-(1+'Ставки'!J6/12)^(-'CF_Аренда'!J27)))</f>
        <v/>
      </c>
      <c r="K28" s="47">
        <f>IF(OR('СРОКИ'!K10&lt;='СРОКИ'!$B$6,'CF_Аренда'!K27&lt;=0),0,('CF_Аренда'!K21-'CF_Аренда'!K26/(1+'Ставки'!K6/12)^('CF_Аренда'!K27))*('Ставки'!K6/12)/(1-(1+'Ставки'!K6/12)^(-'CF_Аренда'!K27)))</f>
        <v/>
      </c>
      <c r="L28" s="47">
        <f>IF(OR('СРОКИ'!L10&lt;='СРОКИ'!$B$6,'CF_Аренда'!L27&lt;=0),0,('CF_Аренда'!L21-'CF_Аренда'!L26/(1+'Ставки'!L6/12)^('CF_Аренда'!L27))*('Ставки'!L6/12)/(1-(1+'Ставки'!L6/12)^(-'CF_Аренда'!L27)))</f>
        <v/>
      </c>
      <c r="M28" s="47">
        <f>IF(OR('СРОКИ'!M10&lt;='СРОКИ'!$B$6,'CF_Аренда'!M27&lt;=0),0,('CF_Аренда'!M21-'CF_Аренда'!M26/(1+'Ставки'!M6/12)^('CF_Аренда'!M27))*('Ставки'!M6/12)/(1-(1+'Ставки'!M6/12)^(-'CF_Аренда'!M27)))</f>
        <v/>
      </c>
      <c r="N28" s="47">
        <f>IF(OR('СРОКИ'!N10&lt;='СРОКИ'!$B$6,'CF_Аренда'!N27&lt;=0),0,('CF_Аренда'!N21-'CF_Аренда'!N26/(1+'Ставки'!N6/12)^('CF_Аренда'!N27))*('Ставки'!N6/12)/(1-(1+'Ставки'!N6/12)^(-'CF_Аренда'!N27)))</f>
        <v/>
      </c>
      <c r="O28" s="47">
        <f>IF(OR('СРОКИ'!O10&lt;='СРОКИ'!$B$6,'CF_Аренда'!O27&lt;=0),0,('CF_Аренда'!O21-'CF_Аренда'!O26/(1+'Ставки'!O6/12)^('CF_Аренда'!O27))*('Ставки'!O6/12)/(1-(1+'Ставки'!O6/12)^(-'CF_Аренда'!O27)))</f>
        <v/>
      </c>
      <c r="P28" s="47">
        <f>IF(OR('СРОКИ'!P10&lt;='СРОКИ'!$B$6,'CF_Аренда'!P27&lt;=0),0,('CF_Аренда'!P21-'CF_Аренда'!P26/(1+'Ставки'!P6/12)^('CF_Аренда'!P27))*('Ставки'!P6/12)/(1-(1+'Ставки'!P6/12)^(-'CF_Аренда'!P27)))</f>
        <v/>
      </c>
      <c r="Q28" s="47">
        <f>IF(OR('СРОКИ'!Q10&lt;='СРОКИ'!$B$6,'CF_Аренда'!Q27&lt;=0),0,('CF_Аренда'!Q21-'CF_Аренда'!Q26/(1+'Ставки'!Q6/12)^('CF_Аренда'!Q27))*('Ставки'!Q6/12)/(1-(1+'Ставки'!Q6/12)^(-'CF_Аренда'!Q27)))</f>
        <v/>
      </c>
      <c r="R28" s="47">
        <f>IF(OR('СРОКИ'!R10&lt;='СРОКИ'!$B$6,'CF_Аренда'!R27&lt;=0),0,('CF_Аренда'!R21-'CF_Аренда'!R26/(1+'Ставки'!R6/12)^('CF_Аренда'!R27))*('Ставки'!R6/12)/(1-(1+'Ставки'!R6/12)^(-'CF_Аренда'!R27)))</f>
        <v/>
      </c>
      <c r="S28" s="47">
        <f>IF(OR('СРОКИ'!S10&lt;='СРОКИ'!$B$6,'CF_Аренда'!S27&lt;=0),0,('CF_Аренда'!S21-'CF_Аренда'!S26/(1+'Ставки'!S6/12)^('CF_Аренда'!S27))*('Ставки'!S6/12)/(1-(1+'Ставки'!S6/12)^(-'CF_Аренда'!S27)))</f>
        <v/>
      </c>
      <c r="T28" s="47">
        <f>IF(OR('СРОКИ'!T10&lt;='СРОКИ'!$B$6,'CF_Аренда'!T27&lt;=0),0,('CF_Аренда'!T21-'CF_Аренда'!T26/(1+'Ставки'!T6/12)^('CF_Аренда'!T27))*('Ставки'!T6/12)/(1-(1+'Ставки'!T6/12)^(-'CF_Аренда'!T27)))</f>
        <v/>
      </c>
      <c r="U28" s="47">
        <f>IF(OR('СРОКИ'!U10&lt;='СРОКИ'!$B$6,'CF_Аренда'!U27&lt;=0),0,('CF_Аренда'!U21-'CF_Аренда'!U26/(1+'Ставки'!U6/12)^('CF_Аренда'!U27))*('Ставки'!U6/12)/(1-(1+'Ставки'!U6/12)^(-'CF_Аренда'!U27)))</f>
        <v/>
      </c>
      <c r="V28" s="47">
        <f>IF(OR('СРОКИ'!V10&lt;='СРОКИ'!$B$6,'CF_Аренда'!V27&lt;=0),0,('CF_Аренда'!V21-'CF_Аренда'!V26/(1+'Ставки'!V6/12)^('CF_Аренда'!V27))*('Ставки'!V6/12)/(1-(1+'Ставки'!V6/12)^(-'CF_Аренда'!V27)))</f>
        <v/>
      </c>
      <c r="W28" s="47">
        <f>IF(OR('СРОКИ'!W10&lt;='СРОКИ'!$B$6,'CF_Аренда'!W27&lt;=0),0,('CF_Аренда'!W21-'CF_Аренда'!W26/(1+'Ставки'!W6/12)^('CF_Аренда'!W27))*('Ставки'!W6/12)/(1-(1+'Ставки'!W6/12)^(-'CF_Аренда'!W27)))</f>
        <v/>
      </c>
      <c r="X28" s="47">
        <f>IF(OR('СРОКИ'!X10&lt;='СРОКИ'!$B$6,'CF_Аренда'!X27&lt;=0),0,('CF_Аренда'!X21-'CF_Аренда'!X26/(1+'Ставки'!X6/12)^('CF_Аренда'!X27))*('Ставки'!X6/12)/(1-(1+'Ставки'!X6/12)^(-'CF_Аренда'!X27)))</f>
        <v/>
      </c>
      <c r="Y28" s="47">
        <f>IF(OR('СРОКИ'!Y10&lt;='СРОКИ'!$B$6,'CF_Аренда'!Y27&lt;=0),0,('CF_Аренда'!Y21-'CF_Аренда'!Y26/(1+'Ставки'!Y6/12)^('CF_Аренда'!Y27))*('Ставки'!Y6/12)/(1-(1+'Ставки'!Y6/12)^(-'CF_Аренда'!Y27)))</f>
        <v/>
      </c>
      <c r="Z28" s="47">
        <f>IF(OR('СРОКИ'!Z10&lt;='СРОКИ'!$B$6,'CF_Аренда'!Z27&lt;=0),0,('CF_Аренда'!Z21-'CF_Аренда'!Z26/(1+'Ставки'!Z6/12)^('CF_Аренда'!Z27))*('Ставки'!Z6/12)/(1-(1+'Ставки'!Z6/12)^(-'CF_Аренда'!Z27)))</f>
        <v/>
      </c>
      <c r="AA28" s="47">
        <f>IF(OR('СРОКИ'!AA10&lt;='СРОКИ'!$B$6,'CF_Аренда'!AA27&lt;=0),0,('CF_Аренда'!AA21-'CF_Аренда'!AA26/(1+'Ставки'!AA6/12)^('CF_Аренда'!AA27))*('Ставки'!AA6/12)/(1-(1+'Ставки'!AA6/12)^(-'CF_Аренда'!AA27)))</f>
        <v/>
      </c>
      <c r="AB28" s="47">
        <f>IF(OR('СРОКИ'!AB10&lt;='СРОКИ'!$B$6,'CF_Аренда'!AB27&lt;=0),0,('CF_Аренда'!AB21-'CF_Аренда'!AB26/(1+'Ставки'!AB6/12)^('CF_Аренда'!AB27))*('Ставки'!AB6/12)/(1-(1+'Ставки'!AB6/12)^(-'CF_Аренда'!AB27)))</f>
        <v/>
      </c>
      <c r="AC28" s="47">
        <f>IF(OR('СРОКИ'!AC10&lt;='СРОКИ'!$B$6,'CF_Аренда'!AC27&lt;=0),0,('CF_Аренда'!AC21-'CF_Аренда'!AC26/(1+'Ставки'!AC6/12)^('CF_Аренда'!AC27))*('Ставки'!AC6/12)/(1-(1+'Ставки'!AC6/12)^(-'CF_Аренда'!AC27)))</f>
        <v/>
      </c>
      <c r="AD28" s="47">
        <f>IF(OR('СРОКИ'!AD10&lt;='СРОКИ'!$B$6,'CF_Аренда'!AD27&lt;=0),0,('CF_Аренда'!AD21-'CF_Аренда'!AD26/(1+'Ставки'!AD6/12)^('CF_Аренда'!AD27))*('Ставки'!AD6/12)/(1-(1+'Ставки'!AD6/12)^(-'CF_Аренда'!AD27)))</f>
        <v/>
      </c>
      <c r="AE28" s="47">
        <f>IF(OR('СРОКИ'!AE10&lt;='СРОКИ'!$B$6,'CF_Аренда'!AE27&lt;=0),0,('CF_Аренда'!AE21-'CF_Аренда'!AE26/(1+'Ставки'!AE6/12)^('CF_Аренда'!AE27))*('Ставки'!AE6/12)/(1-(1+'Ставки'!AE6/12)^(-'CF_Аренда'!AE27)))</f>
        <v/>
      </c>
      <c r="AF28" s="47">
        <f>IF(OR('СРОКИ'!AF10&lt;='СРОКИ'!$B$6,'CF_Аренда'!AF27&lt;=0),0,('CF_Аренда'!AF21-'CF_Аренда'!AF26/(1+'Ставки'!AF6/12)^('CF_Аренда'!AF27))*('Ставки'!AF6/12)/(1-(1+'Ставки'!AF6/12)^(-'CF_Аренда'!AF27)))</f>
        <v/>
      </c>
      <c r="AG28" s="47">
        <f>IF(OR('СРОКИ'!AG10&lt;='СРОКИ'!$B$6,'CF_Аренда'!AG27&lt;=0),0,('CF_Аренда'!AG21-'CF_Аренда'!AG26/(1+'Ставки'!AG6/12)^('CF_Аренда'!AG27))*('Ставки'!AG6/12)/(1-(1+'Ставки'!AG6/12)^(-'CF_Аренда'!AG27)))</f>
        <v/>
      </c>
      <c r="AH28" s="47">
        <f>IF(OR('СРОКИ'!AH10&lt;='СРОКИ'!$B$6,'CF_Аренда'!AH27&lt;=0),0,('CF_Аренда'!AH21-'CF_Аренда'!AH26/(1+'Ставки'!AH6/12)^('CF_Аренда'!AH27))*('Ставки'!AH6/12)/(1-(1+'Ставки'!AH6/12)^(-'CF_Аренда'!AH27)))</f>
        <v/>
      </c>
      <c r="AI28" s="47">
        <f>IF(OR('СРОКИ'!AI10&lt;='СРОКИ'!$B$6,'CF_Аренда'!AI27&lt;=0),0,('CF_Аренда'!AI21-'CF_Аренда'!AI26/(1+'Ставки'!AI6/12)^('CF_Аренда'!AI27))*('Ставки'!AI6/12)/(1-(1+'Ставки'!AI6/12)^(-'CF_Аренда'!AI27)))</f>
        <v/>
      </c>
      <c r="AJ28" s="47">
        <f>IF(OR('СРОКИ'!AJ10&lt;='СРОКИ'!$B$6,'CF_Аренда'!AJ27&lt;=0),0,('CF_Аренда'!AJ21-'CF_Аренда'!AJ26/(1+'Ставки'!AJ6/12)^('CF_Аренда'!AJ27))*('Ставки'!AJ6/12)/(1-(1+'Ставки'!AJ6/12)^(-'CF_Аренда'!AJ27)))</f>
        <v/>
      </c>
      <c r="AK28" s="47">
        <f>IF(OR('СРОКИ'!AK10&lt;='СРОКИ'!$B$6,'CF_Аренда'!AK27&lt;=0),0,('CF_Аренда'!AK21-'CF_Аренда'!AK26/(1+'Ставки'!AK6/12)^('CF_Аренда'!AK27))*('Ставки'!AK6/12)/(1-(1+'Ставки'!AK6/12)^(-'CF_Аренда'!AK27)))</f>
        <v/>
      </c>
      <c r="AL28" s="47">
        <f>IF(OR('СРОКИ'!AL10&lt;='СРОКИ'!$B$6,'CF_Аренда'!AL27&lt;=0),0,('CF_Аренда'!AL21-'CF_Аренда'!AL26/(1+'Ставки'!AL6/12)^('CF_Аренда'!AL27))*('Ставки'!AL6/12)/(1-(1+'Ставки'!AL6/12)^(-'CF_Аренда'!AL27)))</f>
        <v/>
      </c>
      <c r="AM28" s="47">
        <f>IF(OR('СРОКИ'!AM10&lt;='СРОКИ'!$B$6,'CF_Аренда'!AM27&lt;=0),0,('CF_Аренда'!AM21-'CF_Аренда'!AM26/(1+'Ставки'!AM6/12)^('CF_Аренда'!AM27))*('Ставки'!AM6/12)/(1-(1+'Ставки'!AM6/12)^(-'CF_Аренда'!AM27)))</f>
        <v/>
      </c>
      <c r="AN28" s="47">
        <f>IF(OR('СРОКИ'!AN10&lt;='СРОКИ'!$B$6,'CF_Аренда'!AN27&lt;=0),0,('CF_Аренда'!AN21-'CF_Аренда'!AN26/(1+'Ставки'!AN6/12)^('CF_Аренда'!AN27))*('Ставки'!AN6/12)/(1-(1+'Ставки'!AN6/12)^(-'CF_Аренда'!AN27)))</f>
        <v/>
      </c>
      <c r="AO28" s="47">
        <f>IF(OR('СРОКИ'!AO10&lt;='СРОКИ'!$B$6,'CF_Аренда'!AO27&lt;=0),0,('CF_Аренда'!AO21-'CF_Аренда'!AO26/(1+'Ставки'!AO6/12)^('CF_Аренда'!AO27))*('Ставки'!AO6/12)/(1-(1+'Ставки'!AO6/12)^(-'CF_Аренда'!AO27)))</f>
        <v/>
      </c>
      <c r="AP28" s="47">
        <f>IF(OR('СРОКИ'!AP10&lt;='СРОКИ'!$B$6,'CF_Аренда'!AP27&lt;=0),0,('CF_Аренда'!AP21-'CF_Аренда'!AP26/(1+'Ставки'!AP6/12)^('CF_Аренда'!AP27))*('Ставки'!AP6/12)/(1-(1+'Ставки'!AP6/12)^(-'CF_Аренда'!AP27)))</f>
        <v/>
      </c>
      <c r="AQ28" s="47">
        <f>IF(OR('СРОКИ'!AQ10&lt;='СРОКИ'!$B$6,'CF_Аренда'!AQ27&lt;=0),0,('CF_Аренда'!AQ21-'CF_Аренда'!AQ26/(1+'Ставки'!AQ6/12)^('CF_Аренда'!AQ27))*('Ставки'!AQ6/12)/(1-(1+'Ставки'!AQ6/12)^(-'CF_Аренда'!AQ27)))</f>
        <v/>
      </c>
      <c r="AR28" s="47">
        <f>IF(OR('СРОКИ'!AR10&lt;='СРОКИ'!$B$6,'CF_Аренда'!AR27&lt;=0),0,('CF_Аренда'!AR21-'CF_Аренда'!AR26/(1+'Ставки'!AR6/12)^('CF_Аренда'!AR27))*('Ставки'!AR6/12)/(1-(1+'Ставки'!AR6/12)^(-'CF_Аренда'!AR27)))</f>
        <v/>
      </c>
      <c r="AS28" s="47">
        <f>IF(OR('СРОКИ'!AS10&lt;='СРОКИ'!$B$6,'CF_Аренда'!AS27&lt;=0),0,('CF_Аренда'!AS21-'CF_Аренда'!AS26/(1+'Ставки'!AS6/12)^('CF_Аренда'!AS27))*('Ставки'!AS6/12)/(1-(1+'Ставки'!AS6/12)^(-'CF_Аренда'!AS27)))</f>
        <v/>
      </c>
      <c r="AT28" s="47">
        <f>IF(OR('СРОКИ'!AT10&lt;='СРОКИ'!$B$6,'CF_Аренда'!AT27&lt;=0),0,('CF_Аренда'!AT21-'CF_Аренда'!AT26/(1+'Ставки'!AT6/12)^('CF_Аренда'!AT27))*('Ставки'!AT6/12)/(1-(1+'Ставки'!AT6/12)^(-'CF_Аренда'!AT27)))</f>
        <v/>
      </c>
      <c r="AU28" s="47">
        <f>IF(OR('СРОКИ'!AU10&lt;='СРОКИ'!$B$6,'CF_Аренда'!AU27&lt;=0),0,('CF_Аренда'!AU21-'CF_Аренда'!AU26/(1+'Ставки'!AU6/12)^('CF_Аренда'!AU27))*('Ставки'!AU6/12)/(1-(1+'Ставки'!AU6/12)^(-'CF_Аренда'!AU27)))</f>
        <v/>
      </c>
      <c r="AV28" s="47">
        <f>IF(OR('СРОКИ'!AV10&lt;='СРОКИ'!$B$6,'CF_Аренда'!AV27&lt;=0),0,('CF_Аренда'!AV21-'CF_Аренда'!AV26/(1+'Ставки'!AV6/12)^('CF_Аренда'!AV27))*('Ставки'!AV6/12)/(1-(1+'Ставки'!AV6/12)^(-'CF_Аренда'!AV27)))</f>
        <v/>
      </c>
      <c r="AW28" s="47">
        <f>IF(OR('СРОКИ'!AW10&lt;='СРОКИ'!$B$6,'CF_Аренда'!AW27&lt;=0),0,('CF_Аренда'!AW21-'CF_Аренда'!AW26/(1+'Ставки'!AW6/12)^('CF_Аренда'!AW27))*('Ставки'!AW6/12)/(1-(1+'Ставки'!AW6/12)^(-'CF_Аренда'!AW27)))</f>
        <v/>
      </c>
      <c r="AX28" s="47">
        <f>IF(OR('СРОКИ'!AX10&lt;='СРОКИ'!$B$6,'CF_Аренда'!AX27&lt;=0),0,('CF_Аренда'!AX21-'CF_Аренда'!AX26/(1+'Ставки'!AX6/12)^('CF_Аренда'!AX27))*('Ставки'!AX6/12)/(1-(1+'Ставки'!AX6/12)^(-'CF_Аренда'!AX27)))</f>
        <v/>
      </c>
      <c r="AY28" s="47">
        <f>IF(OR('СРОКИ'!AY10&lt;='СРОКИ'!$B$6,'CF_Аренда'!AY27&lt;=0),0,('CF_Аренда'!AY21-'CF_Аренда'!AY26/(1+'Ставки'!AY6/12)^('CF_Аренда'!AY27))*('Ставки'!AY6/12)/(1-(1+'Ставки'!AY6/12)^(-'CF_Аренда'!AY27)))</f>
        <v/>
      </c>
      <c r="AZ28" s="47">
        <f>IF(OR('СРОКИ'!AZ10&lt;='СРОКИ'!$B$6,'CF_Аренда'!AZ27&lt;=0),0,('CF_Аренда'!AZ21-'CF_Аренда'!AZ26/(1+'Ставки'!AZ6/12)^('CF_Аренда'!AZ27))*('Ставки'!AZ6/12)/(1-(1+'Ставки'!AZ6/12)^(-'CF_Аренда'!AZ27)))</f>
        <v/>
      </c>
      <c r="BA28" s="47">
        <f>IF(OR('СРОКИ'!BA10&lt;='СРОКИ'!$B$6,'CF_Аренда'!BA27&lt;=0),0,('CF_Аренда'!BA21-'CF_Аренда'!BA26/(1+'Ставки'!BA6/12)^('CF_Аренда'!BA27))*('Ставки'!BA6/12)/(1-(1+'Ставки'!BA6/12)^(-'CF_Аренда'!BA27)))</f>
        <v/>
      </c>
      <c r="BB28" s="47">
        <f>IF(OR('СРОКИ'!BB10&lt;='СРОКИ'!$B$6,'CF_Аренда'!BB27&lt;=0),0,('CF_Аренда'!BB21-'CF_Аренда'!BB26/(1+'Ставки'!BB6/12)^('CF_Аренда'!BB27))*('Ставки'!BB6/12)/(1-(1+'Ставки'!BB6/12)^(-'CF_Аренда'!BB27)))</f>
        <v/>
      </c>
      <c r="BC28" s="47">
        <f>IF(OR('СРОКИ'!BC10&lt;='СРОКИ'!$B$6,'CF_Аренда'!BC27&lt;=0),0,('CF_Аренда'!BC21-'CF_Аренда'!BC26/(1+'Ставки'!BC6/12)^('CF_Аренда'!BC27))*('Ставки'!BC6/12)/(1-(1+'Ставки'!BC6/12)^(-'CF_Аренда'!BC27)))</f>
        <v/>
      </c>
      <c r="BD28" s="47">
        <f>IF(OR('СРОКИ'!BD10&lt;='СРОКИ'!$B$6,'CF_Аренда'!BD27&lt;=0),0,('CF_Аренда'!BD21-'CF_Аренда'!BD26/(1+'Ставки'!BD6/12)^('CF_Аренда'!BD27))*('Ставки'!BD6/12)/(1-(1+'Ставки'!BD6/12)^(-'CF_Аренда'!BD27)))</f>
        <v/>
      </c>
      <c r="BE28" s="47">
        <f>IF(OR('СРОКИ'!BE10&lt;='СРОКИ'!$B$6,'CF_Аренда'!BE27&lt;=0),0,('CF_Аренда'!BE21-'CF_Аренда'!BE26/(1+'Ставки'!BE6/12)^('CF_Аренда'!BE27))*('Ставки'!BE6/12)/(1-(1+'Ставки'!BE6/12)^(-'CF_Аренда'!BE27)))</f>
        <v/>
      </c>
      <c r="BF28" s="47">
        <f>IF(OR('СРОКИ'!BF10&lt;='СРОКИ'!$B$6,'CF_Аренда'!BF27&lt;=0),0,('CF_Аренда'!BF21-'CF_Аренда'!BF26/(1+'Ставки'!BF6/12)^('CF_Аренда'!BF27))*('Ставки'!BF6/12)/(1-(1+'Ставки'!BF6/12)^(-'CF_Аренда'!BF27)))</f>
        <v/>
      </c>
      <c r="BG28" s="47">
        <f>IF(OR('СРОКИ'!BG10&lt;='СРОКИ'!$B$6,'CF_Аренда'!BG27&lt;=0),0,('CF_Аренда'!BG21-'CF_Аренда'!BG26/(1+'Ставки'!BG6/12)^('CF_Аренда'!BG27))*('Ставки'!BG6/12)/(1-(1+'Ставки'!BG6/12)^(-'CF_Аренда'!BG27)))</f>
        <v/>
      </c>
      <c r="BH28" s="47">
        <f>IF(OR('СРОКИ'!BH10&lt;='СРОКИ'!$B$6,'CF_Аренда'!BH27&lt;=0),0,('CF_Аренда'!BH21-'CF_Аренда'!BH26/(1+'Ставки'!BH6/12)^('CF_Аренда'!BH27))*('Ставки'!BH6/12)/(1-(1+'Ставки'!BH6/12)^(-'CF_Аренда'!BH27)))</f>
        <v/>
      </c>
      <c r="BI28" s="47">
        <f>IF(OR('СРОКИ'!BI10&lt;='СРОКИ'!$B$6,'CF_Аренда'!BI27&lt;=0),0,('CF_Аренда'!BI21-'CF_Аренда'!BI26/(1+'Ставки'!BI6/12)^('CF_Аренда'!BI27))*('Ставки'!BI6/12)/(1-(1+'Ставки'!BI6/12)^(-'CF_Аренда'!BI27)))</f>
        <v/>
      </c>
      <c r="BJ28" s="47">
        <f>IF(OR('СРОКИ'!BJ10&lt;='СРОКИ'!$B$6,'CF_Аренда'!BJ27&lt;=0),0,('CF_Аренда'!BJ21-'CF_Аренда'!BJ26/(1+'Ставки'!BJ6/12)^('CF_Аренда'!BJ27))*('Ставки'!BJ6/12)/(1-(1+'Ставки'!BJ6/12)^(-'CF_Аренда'!BJ27)))</f>
        <v/>
      </c>
      <c r="BK28" s="47">
        <f>IF(OR('СРОКИ'!BK10&lt;='СРОКИ'!$B$6,'CF_Аренда'!BK27&lt;=0),0,('CF_Аренда'!BK21-'CF_Аренда'!BK26/(1+'Ставки'!BK6/12)^('CF_Аренда'!BK27))*('Ставки'!BK6/12)/(1-(1+'Ставки'!BK6/12)^(-'CF_Аренда'!BK27)))</f>
        <v/>
      </c>
      <c r="BL28" s="47">
        <f>IF(OR('СРОКИ'!BL10&lt;='СРОКИ'!$B$6,'CF_Аренда'!BL27&lt;=0),0,('CF_Аренда'!BL21-'CF_Аренда'!BL26/(1+'Ставки'!BL6/12)^('CF_Аренда'!BL27))*('Ставки'!BL6/12)/(1-(1+'Ставки'!BL6/12)^(-'CF_Аренда'!BL27)))</f>
        <v/>
      </c>
      <c r="BM28" s="47">
        <f>IF(OR('СРОКИ'!BM10&lt;='СРОКИ'!$B$6,'CF_Аренда'!BM27&lt;=0),0,('CF_Аренда'!BM21-'CF_Аренда'!BM26/(1+'Ставки'!BM6/12)^('CF_Аренда'!BM27))*('Ставки'!BM6/12)/(1-(1+'Ставки'!BM6/12)^(-'CF_Аренда'!BM27)))</f>
        <v/>
      </c>
      <c r="BN28" s="47">
        <f>IF(OR('СРОКИ'!BN10&lt;='СРОКИ'!$B$6,'CF_Аренда'!BN27&lt;=0),0,('CF_Аренда'!BN21-'CF_Аренда'!BN26/(1+'Ставки'!BN6/12)^('CF_Аренда'!BN27))*('Ставки'!BN6/12)/(1-(1+'Ставки'!BN6/12)^(-'CF_Аренда'!BN27)))</f>
        <v/>
      </c>
      <c r="BO28" s="47">
        <f>IF(OR('СРОКИ'!BO10&lt;='СРОКИ'!$B$6,'CF_Аренда'!BO27&lt;=0),0,('CF_Аренда'!BO21-'CF_Аренда'!BO26/(1+'Ставки'!BO6/12)^('CF_Аренда'!BO27))*('Ставки'!BO6/12)/(1-(1+'Ставки'!BO6/12)^(-'CF_Аренда'!BO27)))</f>
        <v/>
      </c>
      <c r="BP28" s="47">
        <f>IF(OR('СРОКИ'!BP10&lt;='СРОКИ'!$B$6,'CF_Аренда'!BP27&lt;=0),0,('CF_Аренда'!BP21-'CF_Аренда'!BP26/(1+'Ставки'!BP6/12)^('CF_Аренда'!BP27))*('Ставки'!BP6/12)/(1-(1+'Ставки'!BP6/12)^(-'CF_Аренда'!BP27)))</f>
        <v/>
      </c>
      <c r="BQ28" s="47">
        <f>IF(OR('СРОКИ'!BQ10&lt;='СРОКИ'!$B$6,'CF_Аренда'!BQ27&lt;=0),0,('CF_Аренда'!BQ21-'CF_Аренда'!BQ26/(1+'Ставки'!BQ6/12)^('CF_Аренда'!BQ27))*('Ставки'!BQ6/12)/(1-(1+'Ставки'!BQ6/12)^(-'CF_Аренда'!BQ27)))</f>
        <v/>
      </c>
      <c r="BR28" s="47">
        <f>IF(OR('СРОКИ'!BR10&lt;='СРОКИ'!$B$6,'CF_Аренда'!BR27&lt;=0),0,('CF_Аренда'!BR21-'CF_Аренда'!BR26/(1+'Ставки'!BR6/12)^('CF_Аренда'!BR27))*('Ставки'!BR6/12)/(1-(1+'Ставки'!BR6/12)^(-'CF_Аренда'!BR27)))</f>
        <v/>
      </c>
      <c r="BS28" s="47">
        <f>IF(OR('СРОКИ'!BS10&lt;='СРОКИ'!$B$6,'CF_Аренда'!BS27&lt;=0),0,('CF_Аренда'!BS21-'CF_Аренда'!BS26/(1+'Ставки'!BS6/12)^('CF_Аренда'!BS27))*('Ставки'!BS6/12)/(1-(1+'Ставки'!BS6/12)^(-'CF_Аренда'!BS27)))</f>
        <v/>
      </c>
      <c r="BT28" s="47">
        <f>IF(OR('СРОКИ'!BT10&lt;='СРОКИ'!$B$6,'CF_Аренда'!BT27&lt;=0),0,('CF_Аренда'!BT21-'CF_Аренда'!BT26/(1+'Ставки'!BT6/12)^('CF_Аренда'!BT27))*('Ставки'!BT6/12)/(1-(1+'Ставки'!BT6/12)^(-'CF_Аренда'!BT27)))</f>
        <v/>
      </c>
      <c r="BU28" s="47">
        <f>IF(OR('СРОКИ'!BU10&lt;='СРОКИ'!$B$6,'CF_Аренда'!BU27&lt;=0),0,('CF_Аренда'!BU21-'CF_Аренда'!BU26/(1+'Ставки'!BU6/12)^('CF_Аренда'!BU27))*('Ставки'!BU6/12)/(1-(1+'Ставки'!BU6/12)^(-'CF_Аренда'!BU27)))</f>
        <v/>
      </c>
      <c r="BV28" s="47">
        <f>IF(OR('СРОКИ'!BV10&lt;='СРОКИ'!$B$6,'CF_Аренда'!BV27&lt;=0),0,('CF_Аренда'!BV21-'CF_Аренда'!BV26/(1+'Ставки'!BV6/12)^('CF_Аренда'!BV27))*('Ставки'!BV6/12)/(1-(1+'Ставки'!BV6/12)^(-'CF_Аренда'!BV27)))</f>
        <v/>
      </c>
      <c r="BW28" s="47">
        <f>IF(OR('СРОКИ'!BW10&lt;='СРОКИ'!$B$6,'CF_Аренда'!BW27&lt;=0),0,('CF_Аренда'!BW21-'CF_Аренда'!BW26/(1+'Ставки'!BW6/12)^('CF_Аренда'!BW27))*('Ставки'!BW6/12)/(1-(1+'Ставки'!BW6/12)^(-'CF_Аренда'!BW27)))</f>
        <v/>
      </c>
      <c r="BX28" s="47">
        <f>IF(OR('СРОКИ'!BX10&lt;='СРОКИ'!$B$6,'CF_Аренда'!BX27&lt;=0),0,('CF_Аренда'!BX21-'CF_Аренда'!BX26/(1+'Ставки'!BX6/12)^('CF_Аренда'!BX27))*('Ставки'!BX6/12)/(1-(1+'Ставки'!BX6/12)^(-'CF_Аренда'!BX27)))</f>
        <v/>
      </c>
      <c r="BY28" s="47">
        <f>IF(OR('СРОКИ'!BY10&lt;='СРОКИ'!$B$6,'CF_Аренда'!BY27&lt;=0),0,('CF_Аренда'!BY21-'CF_Аренда'!BY26/(1+'Ставки'!BY6/12)^('CF_Аренда'!BY27))*('Ставки'!BY6/12)/(1-(1+'Ставки'!BY6/12)^(-'CF_Аренда'!BY27)))</f>
        <v/>
      </c>
      <c r="BZ28" s="47">
        <f>IF(OR('СРОКИ'!BZ10&lt;='СРОКИ'!$B$6,'CF_Аренда'!BZ27&lt;=0),0,('CF_Аренда'!BZ21-'CF_Аренда'!BZ26/(1+'Ставки'!BZ6/12)^('CF_Аренда'!BZ27))*('Ставки'!BZ6/12)/(1-(1+'Ставки'!BZ6/12)^(-'CF_Аренда'!BZ27)))</f>
        <v/>
      </c>
      <c r="CA28" s="47">
        <f>IF(OR('СРОКИ'!CA10&lt;='СРОКИ'!$B$6,'CF_Аренда'!CA27&lt;=0),0,('CF_Аренда'!CA21-'CF_Аренда'!CA26/(1+'Ставки'!CA6/12)^('CF_Аренда'!CA27))*('Ставки'!CA6/12)/(1-(1+'Ставки'!CA6/12)^(-'CF_Аренда'!CA27)))</f>
        <v/>
      </c>
      <c r="CB28" s="47">
        <f>IF(OR('СРОКИ'!CB10&lt;='СРОКИ'!$B$6,'CF_Аренда'!CB27&lt;=0),0,('CF_Аренда'!CB21-'CF_Аренда'!CB26/(1+'Ставки'!CB6/12)^('CF_Аренда'!CB27))*('Ставки'!CB6/12)/(1-(1+'Ставки'!CB6/12)^(-'CF_Аренда'!CB27)))</f>
        <v/>
      </c>
      <c r="CC28" s="47">
        <f>IF(OR('СРОКИ'!CC10&lt;='СРОКИ'!$B$6,'CF_Аренда'!CC27&lt;=0),0,('CF_Аренда'!CC21-'CF_Аренда'!CC26/(1+'Ставки'!CC6/12)^('CF_Аренда'!CC27))*('Ставки'!CC6/12)/(1-(1+'Ставки'!CC6/12)^(-'CF_Аренда'!CC27)))</f>
        <v/>
      </c>
      <c r="CD28" s="47">
        <f>IF(OR('СРОКИ'!CD10&lt;='СРОКИ'!$B$6,'CF_Аренда'!CD27&lt;=0),0,('CF_Аренда'!CD21-'CF_Аренда'!CD26/(1+'Ставки'!CD6/12)^('CF_Аренда'!CD27))*('Ставки'!CD6/12)/(1-(1+'Ставки'!CD6/12)^(-'CF_Аренда'!CD27)))</f>
        <v/>
      </c>
      <c r="CE28" s="47">
        <f>IF(OR('СРОКИ'!CE10&lt;='СРОКИ'!$B$6,'CF_Аренда'!CE27&lt;=0),0,('CF_Аренда'!CE21-'CF_Аренда'!CE26/(1+'Ставки'!CE6/12)^('CF_Аренда'!CE27))*('Ставки'!CE6/12)/(1-(1+'Ставки'!CE6/12)^(-'CF_Аренда'!CE27)))</f>
        <v/>
      </c>
      <c r="CF28" s="47">
        <f>IF(OR('СРОКИ'!CF10&lt;='СРОКИ'!$B$6,'CF_Аренда'!CF27&lt;=0),0,('CF_Аренда'!CF21-'CF_Аренда'!CF26/(1+'Ставки'!CF6/12)^('CF_Аренда'!CF27))*('Ставки'!CF6/12)/(1-(1+'Ставки'!CF6/12)^(-'CF_Аренда'!CF27)))</f>
        <v/>
      </c>
      <c r="CG28" s="47">
        <f>IF(OR('СРОКИ'!CG10&lt;='СРОКИ'!$B$6,'CF_Аренда'!CG27&lt;=0),0,('CF_Аренда'!CG21-'CF_Аренда'!CG26/(1+'Ставки'!CG6/12)^('CF_Аренда'!CG27))*('Ставки'!CG6/12)/(1-(1+'Ставки'!CG6/12)^(-'CF_Аренда'!CG27)))</f>
        <v/>
      </c>
      <c r="CH28" s="47">
        <f>IF(OR('СРОКИ'!CH10&lt;='СРОКИ'!$B$6,'CF_Аренда'!CH27&lt;=0),0,('CF_Аренда'!CH21-'CF_Аренда'!CH26/(1+'Ставки'!CH6/12)^('CF_Аренда'!CH27))*('Ставки'!CH6/12)/(1-(1+'Ставки'!CH6/12)^(-'CF_Аренда'!CH27)))</f>
        <v/>
      </c>
      <c r="CI28" s="47">
        <f>IF(OR('СРОКИ'!CI10&lt;='СРОКИ'!$B$6,'CF_Аренда'!CI27&lt;=0),0,('CF_Аренда'!CI21-'CF_Аренда'!CI26/(1+'Ставки'!CI6/12)^('CF_Аренда'!CI27))*('Ставки'!CI6/12)/(1-(1+'Ставки'!CI6/12)^(-'CF_Аренда'!CI27)))</f>
        <v/>
      </c>
      <c r="CJ28" s="47">
        <f>IF(OR('СРОКИ'!CJ10&lt;='СРОКИ'!$B$6,'CF_Аренда'!CJ27&lt;=0),0,('CF_Аренда'!CJ21-'CF_Аренда'!CJ26/(1+'Ставки'!CJ6/12)^('CF_Аренда'!CJ27))*('Ставки'!CJ6/12)/(1-(1+'Ставки'!CJ6/12)^(-'CF_Аренда'!CJ27)))</f>
        <v/>
      </c>
      <c r="CK28" s="47">
        <f>IF(OR('СРОКИ'!CK10&lt;='СРОКИ'!$B$6,'CF_Аренда'!CK27&lt;=0),0,('CF_Аренда'!CK21-'CF_Аренда'!CK26/(1+'Ставки'!CK6/12)^('CF_Аренда'!CK27))*('Ставки'!CK6/12)/(1-(1+'Ставки'!CK6/12)^(-'CF_Аренда'!CK27)))</f>
        <v/>
      </c>
      <c r="CL28" s="47">
        <f>IF(OR('СРОКИ'!CL10&lt;='СРОКИ'!$B$6,'CF_Аренда'!CL27&lt;=0),0,('CF_Аренда'!CL21-'CF_Аренда'!CL26/(1+'Ставки'!CL6/12)^('CF_Аренда'!CL27))*('Ставки'!CL6/12)/(1-(1+'Ставки'!CL6/12)^(-'CF_Аренда'!CL27)))</f>
        <v/>
      </c>
      <c r="CM28" s="47">
        <f>IF(OR('СРОКИ'!CM10&lt;='СРОКИ'!$B$6,'CF_Аренда'!CM27&lt;=0),0,('CF_Аренда'!CM21-'CF_Аренда'!CM26/(1+'Ставки'!CM6/12)^('CF_Аренда'!CM27))*('Ставки'!CM6/12)/(1-(1+'Ставки'!CM6/12)^(-'CF_Аренда'!CM27)))</f>
        <v/>
      </c>
      <c r="CN28" s="47">
        <f>IF(OR('СРОКИ'!CN10&lt;='СРОКИ'!$B$6,'CF_Аренда'!CN27&lt;=0),0,('CF_Аренда'!CN21-'CF_Аренда'!CN26/(1+'Ставки'!CN6/12)^('CF_Аренда'!CN27))*('Ставки'!CN6/12)/(1-(1+'Ставки'!CN6/12)^(-'CF_Аренда'!CN27)))</f>
        <v/>
      </c>
      <c r="CO28" s="47">
        <f>IF(OR('СРОКИ'!CO10&lt;='СРОКИ'!$B$6,'CF_Аренда'!CO27&lt;=0),0,('CF_Аренда'!CO21-'CF_Аренда'!CO26/(1+'Ставки'!CO6/12)^('CF_Аренда'!CO27))*('Ставки'!CO6/12)/(1-(1+'Ставки'!CO6/12)^(-'CF_Аренда'!CO27)))</f>
        <v/>
      </c>
      <c r="CP28" s="47">
        <f>IF(OR('СРОКИ'!CP10&lt;='СРОКИ'!$B$6,'CF_Аренда'!CP27&lt;=0),0,('CF_Аренда'!CP21-'CF_Аренда'!CP26/(1+'Ставки'!CP6/12)^('CF_Аренда'!CP27))*('Ставки'!CP6/12)/(1-(1+'Ставки'!CP6/12)^(-'CF_Аренда'!CP27)))</f>
        <v/>
      </c>
      <c r="CQ28" s="47">
        <f>IF(OR('СРОКИ'!CQ10&lt;='СРОКИ'!$B$6,'CF_Аренда'!CQ27&lt;=0),0,('CF_Аренда'!CQ21-'CF_Аренда'!CQ26/(1+'Ставки'!CQ6/12)^('CF_Аренда'!CQ27))*('Ставки'!CQ6/12)/(1-(1+'Ставки'!CQ6/12)^(-'CF_Аренда'!CQ27)))</f>
        <v/>
      </c>
      <c r="CR28" s="47">
        <f>IF(OR('СРОКИ'!CR10&lt;='СРОКИ'!$B$6,'CF_Аренда'!CR27&lt;=0),0,('CF_Аренда'!CR21-'CF_Аренда'!CR26/(1+'Ставки'!CR6/12)^('CF_Аренда'!CR27))*('Ставки'!CR6/12)/(1-(1+'Ставки'!CR6/12)^(-'CF_Аренда'!CR27)))</f>
        <v/>
      </c>
      <c r="CS28" s="47">
        <f>IF(OR('СРОКИ'!CS10&lt;='СРОКИ'!$B$6,'CF_Аренда'!CS27&lt;=0),0,('CF_Аренда'!CS21-'CF_Аренда'!CS26/(1+'Ставки'!CS6/12)^('CF_Аренда'!CS27))*('Ставки'!CS6/12)/(1-(1+'Ставки'!CS6/12)^(-'CF_Аренда'!CS27)))</f>
        <v/>
      </c>
      <c r="CT28" s="47">
        <f>IF(OR('СРОКИ'!CT10&lt;='СРОКИ'!$B$6,'CF_Аренда'!CT27&lt;=0),0,('CF_Аренда'!CT21-'CF_Аренда'!CT26/(1+'Ставки'!CT6/12)^('CF_Аренда'!CT27))*('Ставки'!CT6/12)/(1-(1+'Ставки'!CT6/12)^(-'CF_Аренда'!CT27)))</f>
        <v/>
      </c>
      <c r="CU28" s="47">
        <f>IF(OR('СРОКИ'!CU10&lt;='СРОКИ'!$B$6,'CF_Аренда'!CU27&lt;=0),0,('CF_Аренда'!CU21-'CF_Аренда'!CU26/(1+'Ставки'!CU6/12)^('CF_Аренда'!CU27))*('Ставки'!CU6/12)/(1-(1+'Ставки'!CU6/12)^(-'CF_Аренда'!CU27)))</f>
        <v/>
      </c>
      <c r="CV28" s="47">
        <f>IF(OR('СРОКИ'!CV10&lt;='СРОКИ'!$B$6,'CF_Аренда'!CV27&lt;=0),0,('CF_Аренда'!CV21-'CF_Аренда'!CV26/(1+'Ставки'!CV6/12)^('CF_Аренда'!CV27))*('Ставки'!CV6/12)/(1-(1+'Ставки'!CV6/12)^(-'CF_Аренда'!CV27)))</f>
        <v/>
      </c>
      <c r="CW28" s="47">
        <f>IF(OR('СРОКИ'!CW10&lt;='СРОКИ'!$B$6,'CF_Аренда'!CW27&lt;=0),0,('CF_Аренда'!CW21-'CF_Аренда'!CW26/(1+'Ставки'!CW6/12)^('CF_Аренда'!CW27))*('Ставки'!CW6/12)/(1-(1+'Ставки'!CW6/12)^(-'CF_Аренда'!CW27)))</f>
        <v/>
      </c>
      <c r="CX28" s="47">
        <f>IF(OR('СРОКИ'!CX10&lt;='СРОКИ'!$B$6,'CF_Аренда'!CX27&lt;=0),0,('CF_Аренда'!CX21-'CF_Аренда'!CX26/(1+'Ставки'!CX6/12)^('CF_Аренда'!CX27))*('Ставки'!CX6/12)/(1-(1+'Ставки'!CX6/12)^(-'CF_Аренда'!CX27)))</f>
        <v/>
      </c>
      <c r="CY28" s="47">
        <f>IF(OR('СРОКИ'!CY10&lt;='СРОКИ'!$B$6,'CF_Аренда'!CY27&lt;=0),0,('CF_Аренда'!CY21-'CF_Аренда'!CY26/(1+'Ставки'!CY6/12)^('CF_Аренда'!CY27))*('Ставки'!CY6/12)/(1-(1+'Ставки'!CY6/12)^(-'CF_Аренда'!CY27)))</f>
        <v/>
      </c>
      <c r="CZ28" s="47">
        <f>IF(OR('СРОКИ'!CZ10&lt;='СРОКИ'!$B$6,'CF_Аренда'!CZ27&lt;=0),0,('CF_Аренда'!CZ21-'CF_Аренда'!CZ26/(1+'Ставки'!CZ6/12)^('CF_Аренда'!CZ27))*('Ставки'!CZ6/12)/(1-(1+'Ставки'!CZ6/12)^(-'CF_Аренда'!CZ27)))</f>
        <v/>
      </c>
      <c r="DA28" s="47">
        <f>IF(OR('СРОКИ'!DA10&lt;='СРОКИ'!$B$6,'CF_Аренда'!DA27&lt;=0),0,('CF_Аренда'!DA21-'CF_Аренда'!DA26/(1+'Ставки'!DA6/12)^('CF_Аренда'!DA27))*('Ставки'!DA6/12)/(1-(1+'Ставки'!DA6/12)^(-'CF_Аренда'!DA27)))</f>
        <v/>
      </c>
      <c r="DB28" s="47">
        <f>IF(OR('СРОКИ'!DB10&lt;='СРОКИ'!$B$6,'CF_Аренда'!DB27&lt;=0),0,('CF_Аренда'!DB21-'CF_Аренда'!DB26/(1+'Ставки'!DB6/12)^('CF_Аренда'!DB27))*('Ставки'!DB6/12)/(1-(1+'Ставки'!DB6/12)^(-'CF_Аренда'!DB27)))</f>
        <v/>
      </c>
      <c r="DC28" s="47">
        <f>IF(OR('СРОКИ'!DC10&lt;='СРОКИ'!$B$6,'CF_Аренда'!DC27&lt;=0),0,('CF_Аренда'!DC21-'CF_Аренда'!DC26/(1+'Ставки'!DC6/12)^('CF_Аренда'!DC27))*('Ставки'!DC6/12)/(1-(1+'Ставки'!DC6/12)^(-'CF_Аренда'!DC27)))</f>
        <v/>
      </c>
      <c r="DD28" s="47">
        <f>IF(OR('СРОКИ'!DD10&lt;='СРОКИ'!$B$6,'CF_Аренда'!DD27&lt;=0),0,('CF_Аренда'!DD21-'CF_Аренда'!DD26/(1+'Ставки'!DD6/12)^('CF_Аренда'!DD27))*('Ставки'!DD6/12)/(1-(1+'Ставки'!DD6/12)^(-'CF_Аренда'!DD27)))</f>
        <v/>
      </c>
      <c r="DE28" s="47">
        <f>IF(OR('СРОКИ'!DE10&lt;='СРОКИ'!$B$6,'CF_Аренда'!DE27&lt;=0),0,('CF_Аренда'!DE21-'CF_Аренда'!DE26/(1+'Ставки'!DE6/12)^('CF_Аренда'!DE27))*('Ставки'!DE6/12)/(1-(1+'Ставки'!DE6/12)^(-'CF_Аренда'!DE27)))</f>
        <v/>
      </c>
      <c r="DF28" s="47">
        <f>IF(OR('СРОКИ'!DF10&lt;='СРОКИ'!$B$6,'CF_Аренда'!DF27&lt;=0),0,('CF_Аренда'!DF21-'CF_Аренда'!DF26/(1+'Ставки'!DF6/12)^('CF_Аренда'!DF27))*('Ставки'!DF6/12)/(1-(1+'Ставки'!DF6/12)^(-'CF_Аренда'!DF27)))</f>
        <v/>
      </c>
      <c r="DG28" s="47">
        <f>IF(OR('СРОКИ'!DG10&lt;='СРОКИ'!$B$6,'CF_Аренда'!DG27&lt;=0),0,('CF_Аренда'!DG21-'CF_Аренда'!DG26/(1+'Ставки'!DG6/12)^('CF_Аренда'!DG27))*('Ставки'!DG6/12)/(1-(1+'Ставки'!DG6/12)^(-'CF_Аренда'!DG27)))</f>
        <v/>
      </c>
      <c r="DH28" s="47">
        <f>IF(OR('СРОКИ'!DH10&lt;='СРОКИ'!$B$6,'CF_Аренда'!DH27&lt;=0),0,('CF_Аренда'!DH21-'CF_Аренда'!DH26/(1+'Ставки'!DH6/12)^('CF_Аренда'!DH27))*('Ставки'!DH6/12)/(1-(1+'Ставки'!DH6/12)^(-'CF_Аренда'!DH27)))</f>
        <v/>
      </c>
      <c r="DI28" s="47">
        <f>IF(OR('СРОКИ'!DI10&lt;='СРОКИ'!$B$6,'CF_Аренда'!DI27&lt;=0),0,('CF_Аренда'!DI21-'CF_Аренда'!DI26/(1+'Ставки'!DI6/12)^('CF_Аренда'!DI27))*('Ставки'!DI6/12)/(1-(1+'Ставки'!DI6/12)^(-'CF_Аренда'!DI27)))</f>
        <v/>
      </c>
      <c r="DJ28" s="47">
        <f>IF(OR('СРОКИ'!DJ10&lt;='СРОКИ'!$B$6,'CF_Аренда'!DJ27&lt;=0),0,('CF_Аренда'!DJ21-'CF_Аренда'!DJ26/(1+'Ставки'!DJ6/12)^('CF_Аренда'!DJ27))*('Ставки'!DJ6/12)/(1-(1+'Ставки'!DJ6/12)^(-'CF_Аренда'!DJ27)))</f>
        <v/>
      </c>
      <c r="DK28" s="47">
        <f>IF(OR('СРОКИ'!DK10&lt;='СРОКИ'!$B$6,'CF_Аренда'!DK27&lt;=0),0,('CF_Аренда'!DK21-'CF_Аренда'!DK26/(1+'Ставки'!DK6/12)^('CF_Аренда'!DK27))*('Ставки'!DK6/12)/(1-(1+'Ставки'!DK6/12)^(-'CF_Аренда'!DK27)))</f>
        <v/>
      </c>
      <c r="DL28" s="47">
        <f>IF(OR('СРОКИ'!DL10&lt;='СРОКИ'!$B$6,'CF_Аренда'!DL27&lt;=0),0,('CF_Аренда'!DL21-'CF_Аренда'!DL26/(1+'Ставки'!DL6/12)^('CF_Аренда'!DL27))*('Ставки'!DL6/12)/(1-(1+'Ставки'!DL6/12)^(-'CF_Аренда'!DL27)))</f>
        <v/>
      </c>
      <c r="DM28" s="47">
        <f>IF(OR('СРОКИ'!DM10&lt;='СРОКИ'!$B$6,'CF_Аренда'!DM27&lt;=0),0,('CF_Аренда'!DM21-'CF_Аренда'!DM26/(1+'Ставки'!DM6/12)^('CF_Аренда'!DM27))*('Ставки'!DM6/12)/(1-(1+'Ставки'!DM6/12)^(-'CF_Аренда'!DM27)))</f>
        <v/>
      </c>
    </row>
    <row r="29">
      <c r="A29" s="36" t="inlineStr">
        <is>
          <t>Погашение</t>
        </is>
      </c>
      <c r="B29" s="40">
        <f>SUM(D29:DM29)</f>
        <v/>
      </c>
      <c r="C29" s="37" t="inlineStr">
        <is>
          <t>млн ₽</t>
        </is>
      </c>
      <c r="D29" s="47">
        <f>IF('CF_Аренда'!D21&lt;=0,0,IF(OR('СРОКИ'!D10='CF_Аренда'!$B$5,AND('СРОКИ'!D10&gt;'СРОКИ'!$B$6,'CF_Аренда'!D27&lt;=0)),'CF_Аренда'!D21,IF('СРОКИ'!D10&gt;'СРОКИ'!$B$6,MIN('CF_Аренда'!D21,MAX(0,'CF_Аренда'!D28-'CF_Аренда'!D18)),0)))*'CF_Аренда'!D6</f>
        <v/>
      </c>
      <c r="E29" s="47">
        <f>IF('CF_Аренда'!E21&lt;=0,0,IF(OR('СРОКИ'!E10='CF_Аренда'!$B$5,AND('СРОКИ'!E10&gt;'СРОКИ'!$B$6,'CF_Аренда'!E27&lt;=0)),'CF_Аренда'!E21,IF('СРОКИ'!E10&gt;'СРОКИ'!$B$6,MIN('CF_Аренда'!E21,MAX(0,'CF_Аренда'!E28-'CF_Аренда'!E18)),0)))*'CF_Аренда'!E6</f>
        <v/>
      </c>
      <c r="F29" s="47">
        <f>IF('CF_Аренда'!F21&lt;=0,0,IF(OR('СРОКИ'!F10='CF_Аренда'!$B$5,AND('СРОКИ'!F10&gt;'СРОКИ'!$B$6,'CF_Аренда'!F27&lt;=0)),'CF_Аренда'!F21,IF('СРОКИ'!F10&gt;'СРОКИ'!$B$6,MIN('CF_Аренда'!F21,MAX(0,'CF_Аренда'!F28-'CF_Аренда'!F18)),0)))*'CF_Аренда'!F6</f>
        <v/>
      </c>
      <c r="G29" s="47">
        <f>IF('CF_Аренда'!G21&lt;=0,0,IF(OR('СРОКИ'!G10='CF_Аренда'!$B$5,AND('СРОКИ'!G10&gt;'СРОКИ'!$B$6,'CF_Аренда'!G27&lt;=0)),'CF_Аренда'!G21,IF('СРОКИ'!G10&gt;'СРОКИ'!$B$6,MIN('CF_Аренда'!G21,MAX(0,'CF_Аренда'!G28-'CF_Аренда'!G18)),0)))*'CF_Аренда'!G6</f>
        <v/>
      </c>
      <c r="H29" s="47">
        <f>IF('CF_Аренда'!H21&lt;=0,0,IF(OR('СРОКИ'!H10='CF_Аренда'!$B$5,AND('СРОКИ'!H10&gt;'СРОКИ'!$B$6,'CF_Аренда'!H27&lt;=0)),'CF_Аренда'!H21,IF('СРОКИ'!H10&gt;'СРОКИ'!$B$6,MIN('CF_Аренда'!H21,MAX(0,'CF_Аренда'!H28-'CF_Аренда'!H18)),0)))*'CF_Аренда'!H6</f>
        <v/>
      </c>
      <c r="I29" s="47">
        <f>IF('CF_Аренда'!I21&lt;=0,0,IF(OR('СРОКИ'!I10='CF_Аренда'!$B$5,AND('СРОКИ'!I10&gt;'СРОКИ'!$B$6,'CF_Аренда'!I27&lt;=0)),'CF_Аренда'!I21,IF('СРОКИ'!I10&gt;'СРОКИ'!$B$6,MIN('CF_Аренда'!I21,MAX(0,'CF_Аренда'!I28-'CF_Аренда'!I18)),0)))*'CF_Аренда'!I6</f>
        <v/>
      </c>
      <c r="J29" s="47">
        <f>IF('CF_Аренда'!J21&lt;=0,0,IF(OR('СРОКИ'!J10='CF_Аренда'!$B$5,AND('СРОКИ'!J10&gt;'СРОКИ'!$B$6,'CF_Аренда'!J27&lt;=0)),'CF_Аренда'!J21,IF('СРОКИ'!J10&gt;'СРОКИ'!$B$6,MIN('CF_Аренда'!J21,MAX(0,'CF_Аренда'!J28-'CF_Аренда'!J18)),0)))*'CF_Аренда'!J6</f>
        <v/>
      </c>
      <c r="K29" s="47">
        <f>IF('CF_Аренда'!K21&lt;=0,0,IF(OR('СРОКИ'!K10='CF_Аренда'!$B$5,AND('СРОКИ'!K10&gt;'СРОКИ'!$B$6,'CF_Аренда'!K27&lt;=0)),'CF_Аренда'!K21,IF('СРОКИ'!K10&gt;'СРОКИ'!$B$6,MIN('CF_Аренда'!K21,MAX(0,'CF_Аренда'!K28-'CF_Аренда'!K18)),0)))*'CF_Аренда'!K6</f>
        <v/>
      </c>
      <c r="L29" s="47">
        <f>IF('CF_Аренда'!L21&lt;=0,0,IF(OR('СРОКИ'!L10='CF_Аренда'!$B$5,AND('СРОКИ'!L10&gt;'СРОКИ'!$B$6,'CF_Аренда'!L27&lt;=0)),'CF_Аренда'!L21,IF('СРОКИ'!L10&gt;'СРОКИ'!$B$6,MIN('CF_Аренда'!L21,MAX(0,'CF_Аренда'!L28-'CF_Аренда'!L18)),0)))*'CF_Аренда'!L6</f>
        <v/>
      </c>
      <c r="M29" s="47">
        <f>IF('CF_Аренда'!M21&lt;=0,0,IF(OR('СРОКИ'!M10='CF_Аренда'!$B$5,AND('СРОКИ'!M10&gt;'СРОКИ'!$B$6,'CF_Аренда'!M27&lt;=0)),'CF_Аренда'!M21,IF('СРОКИ'!M10&gt;'СРОКИ'!$B$6,MIN('CF_Аренда'!M21,MAX(0,'CF_Аренда'!M28-'CF_Аренда'!M18)),0)))*'CF_Аренда'!M6</f>
        <v/>
      </c>
      <c r="N29" s="47">
        <f>IF('CF_Аренда'!N21&lt;=0,0,IF(OR('СРОКИ'!N10='CF_Аренда'!$B$5,AND('СРОКИ'!N10&gt;'СРОКИ'!$B$6,'CF_Аренда'!N27&lt;=0)),'CF_Аренда'!N21,IF('СРОКИ'!N10&gt;'СРОКИ'!$B$6,MIN('CF_Аренда'!N21,MAX(0,'CF_Аренда'!N28-'CF_Аренда'!N18)),0)))*'CF_Аренда'!N6</f>
        <v/>
      </c>
      <c r="O29" s="47">
        <f>IF('CF_Аренда'!O21&lt;=0,0,IF(OR('СРОКИ'!O10='CF_Аренда'!$B$5,AND('СРОКИ'!O10&gt;'СРОКИ'!$B$6,'CF_Аренда'!O27&lt;=0)),'CF_Аренда'!O21,IF('СРОКИ'!O10&gt;'СРОКИ'!$B$6,MIN('CF_Аренда'!O21,MAX(0,'CF_Аренда'!O28-'CF_Аренда'!O18)),0)))*'CF_Аренда'!O6</f>
        <v/>
      </c>
      <c r="P29" s="47">
        <f>IF('CF_Аренда'!P21&lt;=0,0,IF(OR('СРОКИ'!P10='CF_Аренда'!$B$5,AND('СРОКИ'!P10&gt;'СРОКИ'!$B$6,'CF_Аренда'!P27&lt;=0)),'CF_Аренда'!P21,IF('СРОКИ'!P10&gt;'СРОКИ'!$B$6,MIN('CF_Аренда'!P21,MAX(0,'CF_Аренда'!P28-'CF_Аренда'!P18)),0)))*'CF_Аренда'!P6</f>
        <v/>
      </c>
      <c r="Q29" s="47">
        <f>IF('CF_Аренда'!Q21&lt;=0,0,IF(OR('СРОКИ'!Q10='CF_Аренда'!$B$5,AND('СРОКИ'!Q10&gt;'СРОКИ'!$B$6,'CF_Аренда'!Q27&lt;=0)),'CF_Аренда'!Q21,IF('СРОКИ'!Q10&gt;'СРОКИ'!$B$6,MIN('CF_Аренда'!Q21,MAX(0,'CF_Аренда'!Q28-'CF_Аренда'!Q18)),0)))*'CF_Аренда'!Q6</f>
        <v/>
      </c>
      <c r="R29" s="47">
        <f>IF('CF_Аренда'!R21&lt;=0,0,IF(OR('СРОКИ'!R10='CF_Аренда'!$B$5,AND('СРОКИ'!R10&gt;'СРОКИ'!$B$6,'CF_Аренда'!R27&lt;=0)),'CF_Аренда'!R21,IF('СРОКИ'!R10&gt;'СРОКИ'!$B$6,MIN('CF_Аренда'!R21,MAX(0,'CF_Аренда'!R28-'CF_Аренда'!R18)),0)))*'CF_Аренда'!R6</f>
        <v/>
      </c>
      <c r="S29" s="47">
        <f>IF('CF_Аренда'!S21&lt;=0,0,IF(OR('СРОКИ'!S10='CF_Аренда'!$B$5,AND('СРОКИ'!S10&gt;'СРОКИ'!$B$6,'CF_Аренда'!S27&lt;=0)),'CF_Аренда'!S21,IF('СРОКИ'!S10&gt;'СРОКИ'!$B$6,MIN('CF_Аренда'!S21,MAX(0,'CF_Аренда'!S28-'CF_Аренда'!S18)),0)))*'CF_Аренда'!S6</f>
        <v/>
      </c>
      <c r="T29" s="47">
        <f>IF('CF_Аренда'!T21&lt;=0,0,IF(OR('СРОКИ'!T10='CF_Аренда'!$B$5,AND('СРОКИ'!T10&gt;'СРОКИ'!$B$6,'CF_Аренда'!T27&lt;=0)),'CF_Аренда'!T21,IF('СРОКИ'!T10&gt;'СРОКИ'!$B$6,MIN('CF_Аренда'!T21,MAX(0,'CF_Аренда'!T28-'CF_Аренда'!T18)),0)))*'CF_Аренда'!T6</f>
        <v/>
      </c>
      <c r="U29" s="47">
        <f>IF('CF_Аренда'!U21&lt;=0,0,IF(OR('СРОКИ'!U10='CF_Аренда'!$B$5,AND('СРОКИ'!U10&gt;'СРОКИ'!$B$6,'CF_Аренда'!U27&lt;=0)),'CF_Аренда'!U21,IF('СРОКИ'!U10&gt;'СРОКИ'!$B$6,MIN('CF_Аренда'!U21,MAX(0,'CF_Аренда'!U28-'CF_Аренда'!U18)),0)))*'CF_Аренда'!U6</f>
        <v/>
      </c>
      <c r="V29" s="47">
        <f>IF('CF_Аренда'!V21&lt;=0,0,IF(OR('СРОКИ'!V10='CF_Аренда'!$B$5,AND('СРОКИ'!V10&gt;'СРОКИ'!$B$6,'CF_Аренда'!V27&lt;=0)),'CF_Аренда'!V21,IF('СРОКИ'!V10&gt;'СРОКИ'!$B$6,MIN('CF_Аренда'!V21,MAX(0,'CF_Аренда'!V28-'CF_Аренда'!V18)),0)))*'CF_Аренда'!V6</f>
        <v/>
      </c>
      <c r="W29" s="47">
        <f>IF('CF_Аренда'!W21&lt;=0,0,IF(OR('СРОКИ'!W10='CF_Аренда'!$B$5,AND('СРОКИ'!W10&gt;'СРОКИ'!$B$6,'CF_Аренда'!W27&lt;=0)),'CF_Аренда'!W21,IF('СРОКИ'!W10&gt;'СРОКИ'!$B$6,MIN('CF_Аренда'!W21,MAX(0,'CF_Аренда'!W28-'CF_Аренда'!W18)),0)))*'CF_Аренда'!W6</f>
        <v/>
      </c>
      <c r="X29" s="47">
        <f>IF('CF_Аренда'!X21&lt;=0,0,IF(OR('СРОКИ'!X10='CF_Аренда'!$B$5,AND('СРОКИ'!X10&gt;'СРОКИ'!$B$6,'CF_Аренда'!X27&lt;=0)),'CF_Аренда'!X21,IF('СРОКИ'!X10&gt;'СРОКИ'!$B$6,MIN('CF_Аренда'!X21,MAX(0,'CF_Аренда'!X28-'CF_Аренда'!X18)),0)))*'CF_Аренда'!X6</f>
        <v/>
      </c>
      <c r="Y29" s="47">
        <f>IF('CF_Аренда'!Y21&lt;=0,0,IF(OR('СРОКИ'!Y10='CF_Аренда'!$B$5,AND('СРОКИ'!Y10&gt;'СРОКИ'!$B$6,'CF_Аренда'!Y27&lt;=0)),'CF_Аренда'!Y21,IF('СРОКИ'!Y10&gt;'СРОКИ'!$B$6,MIN('CF_Аренда'!Y21,MAX(0,'CF_Аренда'!Y28-'CF_Аренда'!Y18)),0)))*'CF_Аренда'!Y6</f>
        <v/>
      </c>
      <c r="Z29" s="47">
        <f>IF('CF_Аренда'!Z21&lt;=0,0,IF(OR('СРОКИ'!Z10='CF_Аренда'!$B$5,AND('СРОКИ'!Z10&gt;'СРОКИ'!$B$6,'CF_Аренда'!Z27&lt;=0)),'CF_Аренда'!Z21,IF('СРОКИ'!Z10&gt;'СРОКИ'!$B$6,MIN('CF_Аренда'!Z21,MAX(0,'CF_Аренда'!Z28-'CF_Аренда'!Z18)),0)))*'CF_Аренда'!Z6</f>
        <v/>
      </c>
      <c r="AA29" s="47">
        <f>IF('CF_Аренда'!AA21&lt;=0,0,IF(OR('СРОКИ'!AA10='CF_Аренда'!$B$5,AND('СРОКИ'!AA10&gt;'СРОКИ'!$B$6,'CF_Аренда'!AA27&lt;=0)),'CF_Аренда'!AA21,IF('СРОКИ'!AA10&gt;'СРОКИ'!$B$6,MIN('CF_Аренда'!AA21,MAX(0,'CF_Аренда'!AA28-'CF_Аренда'!AA18)),0)))*'CF_Аренда'!AA6</f>
        <v/>
      </c>
      <c r="AB29" s="47">
        <f>IF('CF_Аренда'!AB21&lt;=0,0,IF(OR('СРОКИ'!AB10='CF_Аренда'!$B$5,AND('СРОКИ'!AB10&gt;'СРОКИ'!$B$6,'CF_Аренда'!AB27&lt;=0)),'CF_Аренда'!AB21,IF('СРОКИ'!AB10&gt;'СРОКИ'!$B$6,MIN('CF_Аренда'!AB21,MAX(0,'CF_Аренда'!AB28-'CF_Аренда'!AB18)),0)))*'CF_Аренда'!AB6</f>
        <v/>
      </c>
      <c r="AC29" s="47">
        <f>IF('CF_Аренда'!AC21&lt;=0,0,IF(OR('СРОКИ'!AC10='CF_Аренда'!$B$5,AND('СРОКИ'!AC10&gt;'СРОКИ'!$B$6,'CF_Аренда'!AC27&lt;=0)),'CF_Аренда'!AC21,IF('СРОКИ'!AC10&gt;'СРОКИ'!$B$6,MIN('CF_Аренда'!AC21,MAX(0,'CF_Аренда'!AC28-'CF_Аренда'!AC18)),0)))*'CF_Аренда'!AC6</f>
        <v/>
      </c>
      <c r="AD29" s="47">
        <f>IF('CF_Аренда'!AD21&lt;=0,0,IF(OR('СРОКИ'!AD10='CF_Аренда'!$B$5,AND('СРОКИ'!AD10&gt;'СРОКИ'!$B$6,'CF_Аренда'!AD27&lt;=0)),'CF_Аренда'!AD21,IF('СРОКИ'!AD10&gt;'СРОКИ'!$B$6,MIN('CF_Аренда'!AD21,MAX(0,'CF_Аренда'!AD28-'CF_Аренда'!AD18)),0)))*'CF_Аренда'!AD6</f>
        <v/>
      </c>
      <c r="AE29" s="47">
        <f>IF('CF_Аренда'!AE21&lt;=0,0,IF(OR('СРОКИ'!AE10='CF_Аренда'!$B$5,AND('СРОКИ'!AE10&gt;'СРОКИ'!$B$6,'CF_Аренда'!AE27&lt;=0)),'CF_Аренда'!AE21,IF('СРОКИ'!AE10&gt;'СРОКИ'!$B$6,MIN('CF_Аренда'!AE21,MAX(0,'CF_Аренда'!AE28-'CF_Аренда'!AE18)),0)))*'CF_Аренда'!AE6</f>
        <v/>
      </c>
      <c r="AF29" s="47">
        <f>IF('CF_Аренда'!AF21&lt;=0,0,IF(OR('СРОКИ'!AF10='CF_Аренда'!$B$5,AND('СРОКИ'!AF10&gt;'СРОКИ'!$B$6,'CF_Аренда'!AF27&lt;=0)),'CF_Аренда'!AF21,IF('СРОКИ'!AF10&gt;'СРОКИ'!$B$6,MIN('CF_Аренда'!AF21,MAX(0,'CF_Аренда'!AF28-'CF_Аренда'!AF18)),0)))*'CF_Аренда'!AF6</f>
        <v/>
      </c>
      <c r="AG29" s="47">
        <f>IF('CF_Аренда'!AG21&lt;=0,0,IF(OR('СРОКИ'!AG10='CF_Аренда'!$B$5,AND('СРОКИ'!AG10&gt;'СРОКИ'!$B$6,'CF_Аренда'!AG27&lt;=0)),'CF_Аренда'!AG21,IF('СРОКИ'!AG10&gt;'СРОКИ'!$B$6,MIN('CF_Аренда'!AG21,MAX(0,'CF_Аренда'!AG28-'CF_Аренда'!AG18)),0)))*'CF_Аренда'!AG6</f>
        <v/>
      </c>
      <c r="AH29" s="47">
        <f>IF('CF_Аренда'!AH21&lt;=0,0,IF(OR('СРОКИ'!AH10='CF_Аренда'!$B$5,AND('СРОКИ'!AH10&gt;'СРОКИ'!$B$6,'CF_Аренда'!AH27&lt;=0)),'CF_Аренда'!AH21,IF('СРОКИ'!AH10&gt;'СРОКИ'!$B$6,MIN('CF_Аренда'!AH21,MAX(0,'CF_Аренда'!AH28-'CF_Аренда'!AH18)),0)))*'CF_Аренда'!AH6</f>
        <v/>
      </c>
      <c r="AI29" s="47">
        <f>IF('CF_Аренда'!AI21&lt;=0,0,IF(OR('СРОКИ'!AI10='CF_Аренда'!$B$5,AND('СРОКИ'!AI10&gt;'СРОКИ'!$B$6,'CF_Аренда'!AI27&lt;=0)),'CF_Аренда'!AI21,IF('СРОКИ'!AI10&gt;'СРОКИ'!$B$6,MIN('CF_Аренда'!AI21,MAX(0,'CF_Аренда'!AI28-'CF_Аренда'!AI18)),0)))*'CF_Аренда'!AI6</f>
        <v/>
      </c>
      <c r="AJ29" s="47">
        <f>IF('CF_Аренда'!AJ21&lt;=0,0,IF(OR('СРОКИ'!AJ10='CF_Аренда'!$B$5,AND('СРОКИ'!AJ10&gt;'СРОКИ'!$B$6,'CF_Аренда'!AJ27&lt;=0)),'CF_Аренда'!AJ21,IF('СРОКИ'!AJ10&gt;'СРОКИ'!$B$6,MIN('CF_Аренда'!AJ21,MAX(0,'CF_Аренда'!AJ28-'CF_Аренда'!AJ18)),0)))*'CF_Аренда'!AJ6</f>
        <v/>
      </c>
      <c r="AK29" s="47">
        <f>IF('CF_Аренда'!AK21&lt;=0,0,IF(OR('СРОКИ'!AK10='CF_Аренда'!$B$5,AND('СРОКИ'!AK10&gt;'СРОКИ'!$B$6,'CF_Аренда'!AK27&lt;=0)),'CF_Аренда'!AK21,IF('СРОКИ'!AK10&gt;'СРОКИ'!$B$6,MIN('CF_Аренда'!AK21,MAX(0,'CF_Аренда'!AK28-'CF_Аренда'!AK18)),0)))*'CF_Аренда'!AK6</f>
        <v/>
      </c>
      <c r="AL29" s="47">
        <f>IF('CF_Аренда'!AL21&lt;=0,0,IF(OR('СРОКИ'!AL10='CF_Аренда'!$B$5,AND('СРОКИ'!AL10&gt;'СРОКИ'!$B$6,'CF_Аренда'!AL27&lt;=0)),'CF_Аренда'!AL21,IF('СРОКИ'!AL10&gt;'СРОКИ'!$B$6,MIN('CF_Аренда'!AL21,MAX(0,'CF_Аренда'!AL28-'CF_Аренда'!AL18)),0)))*'CF_Аренда'!AL6</f>
        <v/>
      </c>
      <c r="AM29" s="47">
        <f>IF('CF_Аренда'!AM21&lt;=0,0,IF(OR('СРОКИ'!AM10='CF_Аренда'!$B$5,AND('СРОКИ'!AM10&gt;'СРОКИ'!$B$6,'CF_Аренда'!AM27&lt;=0)),'CF_Аренда'!AM21,IF('СРОКИ'!AM10&gt;'СРОКИ'!$B$6,MIN('CF_Аренда'!AM21,MAX(0,'CF_Аренда'!AM28-'CF_Аренда'!AM18)),0)))*'CF_Аренда'!AM6</f>
        <v/>
      </c>
      <c r="AN29" s="47">
        <f>IF('CF_Аренда'!AN21&lt;=0,0,IF(OR('СРОКИ'!AN10='CF_Аренда'!$B$5,AND('СРОКИ'!AN10&gt;'СРОКИ'!$B$6,'CF_Аренда'!AN27&lt;=0)),'CF_Аренда'!AN21,IF('СРОКИ'!AN10&gt;'СРОКИ'!$B$6,MIN('CF_Аренда'!AN21,MAX(0,'CF_Аренда'!AN28-'CF_Аренда'!AN18)),0)))*'CF_Аренда'!AN6</f>
        <v/>
      </c>
      <c r="AO29" s="47">
        <f>IF('CF_Аренда'!AO21&lt;=0,0,IF(OR('СРОКИ'!AO10='CF_Аренда'!$B$5,AND('СРОКИ'!AO10&gt;'СРОКИ'!$B$6,'CF_Аренда'!AO27&lt;=0)),'CF_Аренда'!AO21,IF('СРОКИ'!AO10&gt;'СРОКИ'!$B$6,MIN('CF_Аренда'!AO21,MAX(0,'CF_Аренда'!AO28-'CF_Аренда'!AO18)),0)))*'CF_Аренда'!AO6</f>
        <v/>
      </c>
      <c r="AP29" s="47">
        <f>IF('CF_Аренда'!AP21&lt;=0,0,IF(OR('СРОКИ'!AP10='CF_Аренда'!$B$5,AND('СРОКИ'!AP10&gt;'СРОКИ'!$B$6,'CF_Аренда'!AP27&lt;=0)),'CF_Аренда'!AP21,IF('СРОКИ'!AP10&gt;'СРОКИ'!$B$6,MIN('CF_Аренда'!AP21,MAX(0,'CF_Аренда'!AP28-'CF_Аренда'!AP18)),0)))*'CF_Аренда'!AP6</f>
        <v/>
      </c>
      <c r="AQ29" s="47">
        <f>IF('CF_Аренда'!AQ21&lt;=0,0,IF(OR('СРОКИ'!AQ10='CF_Аренда'!$B$5,AND('СРОКИ'!AQ10&gt;'СРОКИ'!$B$6,'CF_Аренда'!AQ27&lt;=0)),'CF_Аренда'!AQ21,IF('СРОКИ'!AQ10&gt;'СРОКИ'!$B$6,MIN('CF_Аренда'!AQ21,MAX(0,'CF_Аренда'!AQ28-'CF_Аренда'!AQ18)),0)))*'CF_Аренда'!AQ6</f>
        <v/>
      </c>
      <c r="AR29" s="47">
        <f>IF('CF_Аренда'!AR21&lt;=0,0,IF(OR('СРОКИ'!AR10='CF_Аренда'!$B$5,AND('СРОКИ'!AR10&gt;'СРОКИ'!$B$6,'CF_Аренда'!AR27&lt;=0)),'CF_Аренда'!AR21,IF('СРОКИ'!AR10&gt;'СРОКИ'!$B$6,MIN('CF_Аренда'!AR21,MAX(0,'CF_Аренда'!AR28-'CF_Аренда'!AR18)),0)))*'CF_Аренда'!AR6</f>
        <v/>
      </c>
      <c r="AS29" s="47">
        <f>IF('CF_Аренда'!AS21&lt;=0,0,IF(OR('СРОКИ'!AS10='CF_Аренда'!$B$5,AND('СРОКИ'!AS10&gt;'СРОКИ'!$B$6,'CF_Аренда'!AS27&lt;=0)),'CF_Аренда'!AS21,IF('СРОКИ'!AS10&gt;'СРОКИ'!$B$6,MIN('CF_Аренда'!AS21,MAX(0,'CF_Аренда'!AS28-'CF_Аренда'!AS18)),0)))*'CF_Аренда'!AS6</f>
        <v/>
      </c>
      <c r="AT29" s="47">
        <f>IF('CF_Аренда'!AT21&lt;=0,0,IF(OR('СРОКИ'!AT10='CF_Аренда'!$B$5,AND('СРОКИ'!AT10&gt;'СРОКИ'!$B$6,'CF_Аренда'!AT27&lt;=0)),'CF_Аренда'!AT21,IF('СРОКИ'!AT10&gt;'СРОКИ'!$B$6,MIN('CF_Аренда'!AT21,MAX(0,'CF_Аренда'!AT28-'CF_Аренда'!AT18)),0)))*'CF_Аренда'!AT6</f>
        <v/>
      </c>
      <c r="AU29" s="47">
        <f>IF('CF_Аренда'!AU21&lt;=0,0,IF(OR('СРОКИ'!AU10='CF_Аренда'!$B$5,AND('СРОКИ'!AU10&gt;'СРОКИ'!$B$6,'CF_Аренда'!AU27&lt;=0)),'CF_Аренда'!AU21,IF('СРОКИ'!AU10&gt;'СРОКИ'!$B$6,MIN('CF_Аренда'!AU21,MAX(0,'CF_Аренда'!AU28-'CF_Аренда'!AU18)),0)))*'CF_Аренда'!AU6</f>
        <v/>
      </c>
      <c r="AV29" s="47">
        <f>IF('CF_Аренда'!AV21&lt;=0,0,IF(OR('СРОКИ'!AV10='CF_Аренда'!$B$5,AND('СРОКИ'!AV10&gt;'СРОКИ'!$B$6,'CF_Аренда'!AV27&lt;=0)),'CF_Аренда'!AV21,IF('СРОКИ'!AV10&gt;'СРОКИ'!$B$6,MIN('CF_Аренда'!AV21,MAX(0,'CF_Аренда'!AV28-'CF_Аренда'!AV18)),0)))*'CF_Аренда'!AV6</f>
        <v/>
      </c>
      <c r="AW29" s="47">
        <f>IF('CF_Аренда'!AW21&lt;=0,0,IF(OR('СРОКИ'!AW10='CF_Аренда'!$B$5,AND('СРОКИ'!AW10&gt;'СРОКИ'!$B$6,'CF_Аренда'!AW27&lt;=0)),'CF_Аренда'!AW21,IF('СРОКИ'!AW10&gt;'СРОКИ'!$B$6,MIN('CF_Аренда'!AW21,MAX(0,'CF_Аренда'!AW28-'CF_Аренда'!AW18)),0)))*'CF_Аренда'!AW6</f>
        <v/>
      </c>
      <c r="AX29" s="47">
        <f>IF('CF_Аренда'!AX21&lt;=0,0,IF(OR('СРОКИ'!AX10='CF_Аренда'!$B$5,AND('СРОКИ'!AX10&gt;'СРОКИ'!$B$6,'CF_Аренда'!AX27&lt;=0)),'CF_Аренда'!AX21,IF('СРОКИ'!AX10&gt;'СРОКИ'!$B$6,MIN('CF_Аренда'!AX21,MAX(0,'CF_Аренда'!AX28-'CF_Аренда'!AX18)),0)))*'CF_Аренда'!AX6</f>
        <v/>
      </c>
      <c r="AY29" s="47">
        <f>IF('CF_Аренда'!AY21&lt;=0,0,IF(OR('СРОКИ'!AY10='CF_Аренда'!$B$5,AND('СРОКИ'!AY10&gt;'СРОКИ'!$B$6,'CF_Аренда'!AY27&lt;=0)),'CF_Аренда'!AY21,IF('СРОКИ'!AY10&gt;'СРОКИ'!$B$6,MIN('CF_Аренда'!AY21,MAX(0,'CF_Аренда'!AY28-'CF_Аренда'!AY18)),0)))*'CF_Аренда'!AY6</f>
        <v/>
      </c>
      <c r="AZ29" s="47">
        <f>IF('CF_Аренда'!AZ21&lt;=0,0,IF(OR('СРОКИ'!AZ10='CF_Аренда'!$B$5,AND('СРОКИ'!AZ10&gt;'СРОКИ'!$B$6,'CF_Аренда'!AZ27&lt;=0)),'CF_Аренда'!AZ21,IF('СРОКИ'!AZ10&gt;'СРОКИ'!$B$6,MIN('CF_Аренда'!AZ21,MAX(0,'CF_Аренда'!AZ28-'CF_Аренда'!AZ18)),0)))*'CF_Аренда'!AZ6</f>
        <v/>
      </c>
      <c r="BA29" s="47">
        <f>IF('CF_Аренда'!BA21&lt;=0,0,IF(OR('СРОКИ'!BA10='CF_Аренда'!$B$5,AND('СРОКИ'!BA10&gt;'СРОКИ'!$B$6,'CF_Аренда'!BA27&lt;=0)),'CF_Аренда'!BA21,IF('СРОКИ'!BA10&gt;'СРОКИ'!$B$6,MIN('CF_Аренда'!BA21,MAX(0,'CF_Аренда'!BA28-'CF_Аренда'!BA18)),0)))*'CF_Аренда'!BA6</f>
        <v/>
      </c>
      <c r="BB29" s="47">
        <f>IF('CF_Аренда'!BB21&lt;=0,0,IF(OR('СРОКИ'!BB10='CF_Аренда'!$B$5,AND('СРОКИ'!BB10&gt;'СРОКИ'!$B$6,'CF_Аренда'!BB27&lt;=0)),'CF_Аренда'!BB21,IF('СРОКИ'!BB10&gt;'СРОКИ'!$B$6,MIN('CF_Аренда'!BB21,MAX(0,'CF_Аренда'!BB28-'CF_Аренда'!BB18)),0)))*'CF_Аренда'!BB6</f>
        <v/>
      </c>
      <c r="BC29" s="47">
        <f>IF('CF_Аренда'!BC21&lt;=0,0,IF(OR('СРОКИ'!BC10='CF_Аренда'!$B$5,AND('СРОКИ'!BC10&gt;'СРОКИ'!$B$6,'CF_Аренда'!BC27&lt;=0)),'CF_Аренда'!BC21,IF('СРОКИ'!BC10&gt;'СРОКИ'!$B$6,MIN('CF_Аренда'!BC21,MAX(0,'CF_Аренда'!BC28-'CF_Аренда'!BC18)),0)))*'CF_Аренда'!BC6</f>
        <v/>
      </c>
      <c r="BD29" s="47">
        <f>IF('CF_Аренда'!BD21&lt;=0,0,IF(OR('СРОКИ'!BD10='CF_Аренда'!$B$5,AND('СРОКИ'!BD10&gt;'СРОКИ'!$B$6,'CF_Аренда'!BD27&lt;=0)),'CF_Аренда'!BD21,IF('СРОКИ'!BD10&gt;'СРОКИ'!$B$6,MIN('CF_Аренда'!BD21,MAX(0,'CF_Аренда'!BD28-'CF_Аренда'!BD18)),0)))*'CF_Аренда'!BD6</f>
        <v/>
      </c>
      <c r="BE29" s="47">
        <f>IF('CF_Аренда'!BE21&lt;=0,0,IF(OR('СРОКИ'!BE10='CF_Аренда'!$B$5,AND('СРОКИ'!BE10&gt;'СРОКИ'!$B$6,'CF_Аренда'!BE27&lt;=0)),'CF_Аренда'!BE21,IF('СРОКИ'!BE10&gt;'СРОКИ'!$B$6,MIN('CF_Аренда'!BE21,MAX(0,'CF_Аренда'!BE28-'CF_Аренда'!BE18)),0)))*'CF_Аренда'!BE6</f>
        <v/>
      </c>
      <c r="BF29" s="47">
        <f>IF('CF_Аренда'!BF21&lt;=0,0,IF(OR('СРОКИ'!BF10='CF_Аренда'!$B$5,AND('СРОКИ'!BF10&gt;'СРОКИ'!$B$6,'CF_Аренда'!BF27&lt;=0)),'CF_Аренда'!BF21,IF('СРОКИ'!BF10&gt;'СРОКИ'!$B$6,MIN('CF_Аренда'!BF21,MAX(0,'CF_Аренда'!BF28-'CF_Аренда'!BF18)),0)))*'CF_Аренда'!BF6</f>
        <v/>
      </c>
      <c r="BG29" s="47">
        <f>IF('CF_Аренда'!BG21&lt;=0,0,IF(OR('СРОКИ'!BG10='CF_Аренда'!$B$5,AND('СРОКИ'!BG10&gt;'СРОКИ'!$B$6,'CF_Аренда'!BG27&lt;=0)),'CF_Аренда'!BG21,IF('СРОКИ'!BG10&gt;'СРОКИ'!$B$6,MIN('CF_Аренда'!BG21,MAX(0,'CF_Аренда'!BG28-'CF_Аренда'!BG18)),0)))*'CF_Аренда'!BG6</f>
        <v/>
      </c>
      <c r="BH29" s="47">
        <f>IF('CF_Аренда'!BH21&lt;=0,0,IF(OR('СРОКИ'!BH10='CF_Аренда'!$B$5,AND('СРОКИ'!BH10&gt;'СРОКИ'!$B$6,'CF_Аренда'!BH27&lt;=0)),'CF_Аренда'!BH21,IF('СРОКИ'!BH10&gt;'СРОКИ'!$B$6,MIN('CF_Аренда'!BH21,MAX(0,'CF_Аренда'!BH28-'CF_Аренда'!BH18)),0)))*'CF_Аренда'!BH6</f>
        <v/>
      </c>
      <c r="BI29" s="47">
        <f>IF('CF_Аренда'!BI21&lt;=0,0,IF(OR('СРОКИ'!BI10='CF_Аренда'!$B$5,AND('СРОКИ'!BI10&gt;'СРОКИ'!$B$6,'CF_Аренда'!BI27&lt;=0)),'CF_Аренда'!BI21,IF('СРОКИ'!BI10&gt;'СРОКИ'!$B$6,MIN('CF_Аренда'!BI21,MAX(0,'CF_Аренда'!BI28-'CF_Аренда'!BI18)),0)))*'CF_Аренда'!BI6</f>
        <v/>
      </c>
      <c r="BJ29" s="47">
        <f>IF('CF_Аренда'!BJ21&lt;=0,0,IF(OR('СРОКИ'!BJ10='CF_Аренда'!$B$5,AND('СРОКИ'!BJ10&gt;'СРОКИ'!$B$6,'CF_Аренда'!BJ27&lt;=0)),'CF_Аренда'!BJ21,IF('СРОКИ'!BJ10&gt;'СРОКИ'!$B$6,MIN('CF_Аренда'!BJ21,MAX(0,'CF_Аренда'!BJ28-'CF_Аренда'!BJ18)),0)))*'CF_Аренда'!BJ6</f>
        <v/>
      </c>
      <c r="BK29" s="47">
        <f>IF('CF_Аренда'!BK21&lt;=0,0,IF(OR('СРОКИ'!BK10='CF_Аренда'!$B$5,AND('СРОКИ'!BK10&gt;'СРОКИ'!$B$6,'CF_Аренда'!BK27&lt;=0)),'CF_Аренда'!BK21,IF('СРОКИ'!BK10&gt;'СРОКИ'!$B$6,MIN('CF_Аренда'!BK21,MAX(0,'CF_Аренда'!BK28-'CF_Аренда'!BK18)),0)))*'CF_Аренда'!BK6</f>
        <v/>
      </c>
      <c r="BL29" s="47">
        <f>IF('CF_Аренда'!BL21&lt;=0,0,IF(OR('СРОКИ'!BL10='CF_Аренда'!$B$5,AND('СРОКИ'!BL10&gt;'СРОКИ'!$B$6,'CF_Аренда'!BL27&lt;=0)),'CF_Аренда'!BL21,IF('СРОКИ'!BL10&gt;'СРОКИ'!$B$6,MIN('CF_Аренда'!BL21,MAX(0,'CF_Аренда'!BL28-'CF_Аренда'!BL18)),0)))*'CF_Аренда'!BL6</f>
        <v/>
      </c>
      <c r="BM29" s="47">
        <f>IF('CF_Аренда'!BM21&lt;=0,0,IF(OR('СРОКИ'!BM10='CF_Аренда'!$B$5,AND('СРОКИ'!BM10&gt;'СРОКИ'!$B$6,'CF_Аренда'!BM27&lt;=0)),'CF_Аренда'!BM21,IF('СРОКИ'!BM10&gt;'СРОКИ'!$B$6,MIN('CF_Аренда'!BM21,MAX(0,'CF_Аренда'!BM28-'CF_Аренда'!BM18)),0)))*'CF_Аренда'!BM6</f>
        <v/>
      </c>
      <c r="BN29" s="47">
        <f>IF('CF_Аренда'!BN21&lt;=0,0,IF(OR('СРОКИ'!BN10='CF_Аренда'!$B$5,AND('СРОКИ'!BN10&gt;'СРОКИ'!$B$6,'CF_Аренда'!BN27&lt;=0)),'CF_Аренда'!BN21,IF('СРОКИ'!BN10&gt;'СРОКИ'!$B$6,MIN('CF_Аренда'!BN21,MAX(0,'CF_Аренда'!BN28-'CF_Аренда'!BN18)),0)))*'CF_Аренда'!BN6</f>
        <v/>
      </c>
      <c r="BO29" s="47">
        <f>IF('CF_Аренда'!BO21&lt;=0,0,IF(OR('СРОКИ'!BO10='CF_Аренда'!$B$5,AND('СРОКИ'!BO10&gt;'СРОКИ'!$B$6,'CF_Аренда'!BO27&lt;=0)),'CF_Аренда'!BO21,IF('СРОКИ'!BO10&gt;'СРОКИ'!$B$6,MIN('CF_Аренда'!BO21,MAX(0,'CF_Аренда'!BO28-'CF_Аренда'!BO18)),0)))*'CF_Аренда'!BO6</f>
        <v/>
      </c>
      <c r="BP29" s="47">
        <f>IF('CF_Аренда'!BP21&lt;=0,0,IF(OR('СРОКИ'!BP10='CF_Аренда'!$B$5,AND('СРОКИ'!BP10&gt;'СРОКИ'!$B$6,'CF_Аренда'!BP27&lt;=0)),'CF_Аренда'!BP21,IF('СРОКИ'!BP10&gt;'СРОКИ'!$B$6,MIN('CF_Аренда'!BP21,MAX(0,'CF_Аренда'!BP28-'CF_Аренда'!BP18)),0)))*'CF_Аренда'!BP6</f>
        <v/>
      </c>
      <c r="BQ29" s="47">
        <f>IF('CF_Аренда'!BQ21&lt;=0,0,IF(OR('СРОКИ'!BQ10='CF_Аренда'!$B$5,AND('СРОКИ'!BQ10&gt;'СРОКИ'!$B$6,'CF_Аренда'!BQ27&lt;=0)),'CF_Аренда'!BQ21,IF('СРОКИ'!BQ10&gt;'СРОКИ'!$B$6,MIN('CF_Аренда'!BQ21,MAX(0,'CF_Аренда'!BQ28-'CF_Аренда'!BQ18)),0)))*'CF_Аренда'!BQ6</f>
        <v/>
      </c>
      <c r="BR29" s="47">
        <f>IF('CF_Аренда'!BR21&lt;=0,0,IF(OR('СРОКИ'!BR10='CF_Аренда'!$B$5,AND('СРОКИ'!BR10&gt;'СРОКИ'!$B$6,'CF_Аренда'!BR27&lt;=0)),'CF_Аренда'!BR21,IF('СРОКИ'!BR10&gt;'СРОКИ'!$B$6,MIN('CF_Аренда'!BR21,MAX(0,'CF_Аренда'!BR28-'CF_Аренда'!BR18)),0)))*'CF_Аренда'!BR6</f>
        <v/>
      </c>
      <c r="BS29" s="47">
        <f>IF('CF_Аренда'!BS21&lt;=0,0,IF(OR('СРОКИ'!BS10='CF_Аренда'!$B$5,AND('СРОКИ'!BS10&gt;'СРОКИ'!$B$6,'CF_Аренда'!BS27&lt;=0)),'CF_Аренда'!BS21,IF('СРОКИ'!BS10&gt;'СРОКИ'!$B$6,MIN('CF_Аренда'!BS21,MAX(0,'CF_Аренда'!BS28-'CF_Аренда'!BS18)),0)))*'CF_Аренда'!BS6</f>
        <v/>
      </c>
      <c r="BT29" s="47">
        <f>IF('CF_Аренда'!BT21&lt;=0,0,IF(OR('СРОКИ'!BT10='CF_Аренда'!$B$5,AND('СРОКИ'!BT10&gt;'СРОКИ'!$B$6,'CF_Аренда'!BT27&lt;=0)),'CF_Аренда'!BT21,IF('СРОКИ'!BT10&gt;'СРОКИ'!$B$6,MIN('CF_Аренда'!BT21,MAX(0,'CF_Аренда'!BT28-'CF_Аренда'!BT18)),0)))*'CF_Аренда'!BT6</f>
        <v/>
      </c>
      <c r="BU29" s="47">
        <f>IF('CF_Аренда'!BU21&lt;=0,0,IF(OR('СРОКИ'!BU10='CF_Аренда'!$B$5,AND('СРОКИ'!BU10&gt;'СРОКИ'!$B$6,'CF_Аренда'!BU27&lt;=0)),'CF_Аренда'!BU21,IF('СРОКИ'!BU10&gt;'СРОКИ'!$B$6,MIN('CF_Аренда'!BU21,MAX(0,'CF_Аренда'!BU28-'CF_Аренда'!BU18)),0)))*'CF_Аренда'!BU6</f>
        <v/>
      </c>
      <c r="BV29" s="47">
        <f>IF('CF_Аренда'!BV21&lt;=0,0,IF(OR('СРОКИ'!BV10='CF_Аренда'!$B$5,AND('СРОКИ'!BV10&gt;'СРОКИ'!$B$6,'CF_Аренда'!BV27&lt;=0)),'CF_Аренда'!BV21,IF('СРОКИ'!BV10&gt;'СРОКИ'!$B$6,MIN('CF_Аренда'!BV21,MAX(0,'CF_Аренда'!BV28-'CF_Аренда'!BV18)),0)))*'CF_Аренда'!BV6</f>
        <v/>
      </c>
      <c r="BW29" s="47">
        <f>IF('CF_Аренда'!BW21&lt;=0,0,IF(OR('СРОКИ'!BW10='CF_Аренда'!$B$5,AND('СРОКИ'!BW10&gt;'СРОКИ'!$B$6,'CF_Аренда'!BW27&lt;=0)),'CF_Аренда'!BW21,IF('СРОКИ'!BW10&gt;'СРОКИ'!$B$6,MIN('CF_Аренда'!BW21,MAX(0,'CF_Аренда'!BW28-'CF_Аренда'!BW18)),0)))*'CF_Аренда'!BW6</f>
        <v/>
      </c>
      <c r="BX29" s="47">
        <f>IF('CF_Аренда'!BX21&lt;=0,0,IF(OR('СРОКИ'!BX10='CF_Аренда'!$B$5,AND('СРОКИ'!BX10&gt;'СРОКИ'!$B$6,'CF_Аренда'!BX27&lt;=0)),'CF_Аренда'!BX21,IF('СРОКИ'!BX10&gt;'СРОКИ'!$B$6,MIN('CF_Аренда'!BX21,MAX(0,'CF_Аренда'!BX28-'CF_Аренда'!BX18)),0)))*'CF_Аренда'!BX6</f>
        <v/>
      </c>
      <c r="BY29" s="47">
        <f>IF('CF_Аренда'!BY21&lt;=0,0,IF(OR('СРОКИ'!BY10='CF_Аренда'!$B$5,AND('СРОКИ'!BY10&gt;'СРОКИ'!$B$6,'CF_Аренда'!BY27&lt;=0)),'CF_Аренда'!BY21,IF('СРОКИ'!BY10&gt;'СРОКИ'!$B$6,MIN('CF_Аренда'!BY21,MAX(0,'CF_Аренда'!BY28-'CF_Аренда'!BY18)),0)))*'CF_Аренда'!BY6</f>
        <v/>
      </c>
      <c r="BZ29" s="47">
        <f>IF('CF_Аренда'!BZ21&lt;=0,0,IF(OR('СРОКИ'!BZ10='CF_Аренда'!$B$5,AND('СРОКИ'!BZ10&gt;'СРОКИ'!$B$6,'CF_Аренда'!BZ27&lt;=0)),'CF_Аренда'!BZ21,IF('СРОКИ'!BZ10&gt;'СРОКИ'!$B$6,MIN('CF_Аренда'!BZ21,MAX(0,'CF_Аренда'!BZ28-'CF_Аренда'!BZ18)),0)))*'CF_Аренда'!BZ6</f>
        <v/>
      </c>
      <c r="CA29" s="47">
        <f>IF('CF_Аренда'!CA21&lt;=0,0,IF(OR('СРОКИ'!CA10='CF_Аренда'!$B$5,AND('СРОКИ'!CA10&gt;'СРОКИ'!$B$6,'CF_Аренда'!CA27&lt;=0)),'CF_Аренда'!CA21,IF('СРОКИ'!CA10&gt;'СРОКИ'!$B$6,MIN('CF_Аренда'!CA21,MAX(0,'CF_Аренда'!CA28-'CF_Аренда'!CA18)),0)))*'CF_Аренда'!CA6</f>
        <v/>
      </c>
      <c r="CB29" s="47">
        <f>IF('CF_Аренда'!CB21&lt;=0,0,IF(OR('СРОКИ'!CB10='CF_Аренда'!$B$5,AND('СРОКИ'!CB10&gt;'СРОКИ'!$B$6,'CF_Аренда'!CB27&lt;=0)),'CF_Аренда'!CB21,IF('СРОКИ'!CB10&gt;'СРОКИ'!$B$6,MIN('CF_Аренда'!CB21,MAX(0,'CF_Аренда'!CB28-'CF_Аренда'!CB18)),0)))*'CF_Аренда'!CB6</f>
        <v/>
      </c>
      <c r="CC29" s="47">
        <f>IF('CF_Аренда'!CC21&lt;=0,0,IF(OR('СРОКИ'!CC10='CF_Аренда'!$B$5,AND('СРОКИ'!CC10&gt;'СРОКИ'!$B$6,'CF_Аренда'!CC27&lt;=0)),'CF_Аренда'!CC21,IF('СРОКИ'!CC10&gt;'СРОКИ'!$B$6,MIN('CF_Аренда'!CC21,MAX(0,'CF_Аренда'!CC28-'CF_Аренда'!CC18)),0)))*'CF_Аренда'!CC6</f>
        <v/>
      </c>
      <c r="CD29" s="47">
        <f>IF('CF_Аренда'!CD21&lt;=0,0,IF(OR('СРОКИ'!CD10='CF_Аренда'!$B$5,AND('СРОКИ'!CD10&gt;'СРОКИ'!$B$6,'CF_Аренда'!CD27&lt;=0)),'CF_Аренда'!CD21,IF('СРОКИ'!CD10&gt;'СРОКИ'!$B$6,MIN('CF_Аренда'!CD21,MAX(0,'CF_Аренда'!CD28-'CF_Аренда'!CD18)),0)))*'CF_Аренда'!CD6</f>
        <v/>
      </c>
      <c r="CE29" s="47">
        <f>IF('CF_Аренда'!CE21&lt;=0,0,IF(OR('СРОКИ'!CE10='CF_Аренда'!$B$5,AND('СРОКИ'!CE10&gt;'СРОКИ'!$B$6,'CF_Аренда'!CE27&lt;=0)),'CF_Аренда'!CE21,IF('СРОКИ'!CE10&gt;'СРОКИ'!$B$6,MIN('CF_Аренда'!CE21,MAX(0,'CF_Аренда'!CE28-'CF_Аренда'!CE18)),0)))*'CF_Аренда'!CE6</f>
        <v/>
      </c>
      <c r="CF29" s="47">
        <f>IF('CF_Аренда'!CF21&lt;=0,0,IF(OR('СРОКИ'!CF10='CF_Аренда'!$B$5,AND('СРОКИ'!CF10&gt;'СРОКИ'!$B$6,'CF_Аренда'!CF27&lt;=0)),'CF_Аренда'!CF21,IF('СРОКИ'!CF10&gt;'СРОКИ'!$B$6,MIN('CF_Аренда'!CF21,MAX(0,'CF_Аренда'!CF28-'CF_Аренда'!CF18)),0)))*'CF_Аренда'!CF6</f>
        <v/>
      </c>
      <c r="CG29" s="47">
        <f>IF('CF_Аренда'!CG21&lt;=0,0,IF(OR('СРОКИ'!CG10='CF_Аренда'!$B$5,AND('СРОКИ'!CG10&gt;'СРОКИ'!$B$6,'CF_Аренда'!CG27&lt;=0)),'CF_Аренда'!CG21,IF('СРОКИ'!CG10&gt;'СРОКИ'!$B$6,MIN('CF_Аренда'!CG21,MAX(0,'CF_Аренда'!CG28-'CF_Аренда'!CG18)),0)))*'CF_Аренда'!CG6</f>
        <v/>
      </c>
      <c r="CH29" s="47">
        <f>IF('CF_Аренда'!CH21&lt;=0,0,IF(OR('СРОКИ'!CH10='CF_Аренда'!$B$5,AND('СРОКИ'!CH10&gt;'СРОКИ'!$B$6,'CF_Аренда'!CH27&lt;=0)),'CF_Аренда'!CH21,IF('СРОКИ'!CH10&gt;'СРОКИ'!$B$6,MIN('CF_Аренда'!CH21,MAX(0,'CF_Аренда'!CH28-'CF_Аренда'!CH18)),0)))*'CF_Аренда'!CH6</f>
        <v/>
      </c>
      <c r="CI29" s="47">
        <f>IF('CF_Аренда'!CI21&lt;=0,0,IF(OR('СРОКИ'!CI10='CF_Аренда'!$B$5,AND('СРОКИ'!CI10&gt;'СРОКИ'!$B$6,'CF_Аренда'!CI27&lt;=0)),'CF_Аренда'!CI21,IF('СРОКИ'!CI10&gt;'СРОКИ'!$B$6,MIN('CF_Аренда'!CI21,MAX(0,'CF_Аренда'!CI28-'CF_Аренда'!CI18)),0)))*'CF_Аренда'!CI6</f>
        <v/>
      </c>
      <c r="CJ29" s="47">
        <f>IF('CF_Аренда'!CJ21&lt;=0,0,IF(OR('СРОКИ'!CJ10='CF_Аренда'!$B$5,AND('СРОКИ'!CJ10&gt;'СРОКИ'!$B$6,'CF_Аренда'!CJ27&lt;=0)),'CF_Аренда'!CJ21,IF('СРОКИ'!CJ10&gt;'СРОКИ'!$B$6,MIN('CF_Аренда'!CJ21,MAX(0,'CF_Аренда'!CJ28-'CF_Аренда'!CJ18)),0)))*'CF_Аренда'!CJ6</f>
        <v/>
      </c>
      <c r="CK29" s="47">
        <f>IF('CF_Аренда'!CK21&lt;=0,0,IF(OR('СРОКИ'!CK10='CF_Аренда'!$B$5,AND('СРОКИ'!CK10&gt;'СРОКИ'!$B$6,'CF_Аренда'!CK27&lt;=0)),'CF_Аренда'!CK21,IF('СРОКИ'!CK10&gt;'СРОКИ'!$B$6,MIN('CF_Аренда'!CK21,MAX(0,'CF_Аренда'!CK28-'CF_Аренда'!CK18)),0)))*'CF_Аренда'!CK6</f>
        <v/>
      </c>
      <c r="CL29" s="47">
        <f>IF('CF_Аренда'!CL21&lt;=0,0,IF(OR('СРОКИ'!CL10='CF_Аренда'!$B$5,AND('СРОКИ'!CL10&gt;'СРОКИ'!$B$6,'CF_Аренда'!CL27&lt;=0)),'CF_Аренда'!CL21,IF('СРОКИ'!CL10&gt;'СРОКИ'!$B$6,MIN('CF_Аренда'!CL21,MAX(0,'CF_Аренда'!CL28-'CF_Аренда'!CL18)),0)))*'CF_Аренда'!CL6</f>
        <v/>
      </c>
      <c r="CM29" s="47">
        <f>IF('CF_Аренда'!CM21&lt;=0,0,IF(OR('СРОКИ'!CM10='CF_Аренда'!$B$5,AND('СРОКИ'!CM10&gt;'СРОКИ'!$B$6,'CF_Аренда'!CM27&lt;=0)),'CF_Аренда'!CM21,IF('СРОКИ'!CM10&gt;'СРОКИ'!$B$6,MIN('CF_Аренда'!CM21,MAX(0,'CF_Аренда'!CM28-'CF_Аренда'!CM18)),0)))*'CF_Аренда'!CM6</f>
        <v/>
      </c>
      <c r="CN29" s="47">
        <f>IF('CF_Аренда'!CN21&lt;=0,0,IF(OR('СРОКИ'!CN10='CF_Аренда'!$B$5,AND('СРОКИ'!CN10&gt;'СРОКИ'!$B$6,'CF_Аренда'!CN27&lt;=0)),'CF_Аренда'!CN21,IF('СРОКИ'!CN10&gt;'СРОКИ'!$B$6,MIN('CF_Аренда'!CN21,MAX(0,'CF_Аренда'!CN28-'CF_Аренда'!CN18)),0)))*'CF_Аренда'!CN6</f>
        <v/>
      </c>
      <c r="CO29" s="47">
        <f>IF('CF_Аренда'!CO21&lt;=0,0,IF(OR('СРОКИ'!CO10='CF_Аренда'!$B$5,AND('СРОКИ'!CO10&gt;'СРОКИ'!$B$6,'CF_Аренда'!CO27&lt;=0)),'CF_Аренда'!CO21,IF('СРОКИ'!CO10&gt;'СРОКИ'!$B$6,MIN('CF_Аренда'!CO21,MAX(0,'CF_Аренда'!CO28-'CF_Аренда'!CO18)),0)))*'CF_Аренда'!CO6</f>
        <v/>
      </c>
      <c r="CP29" s="47">
        <f>IF('CF_Аренда'!CP21&lt;=0,0,IF(OR('СРОКИ'!CP10='CF_Аренда'!$B$5,AND('СРОКИ'!CP10&gt;'СРОКИ'!$B$6,'CF_Аренда'!CP27&lt;=0)),'CF_Аренда'!CP21,IF('СРОКИ'!CP10&gt;'СРОКИ'!$B$6,MIN('CF_Аренда'!CP21,MAX(0,'CF_Аренда'!CP28-'CF_Аренда'!CP18)),0)))*'CF_Аренда'!CP6</f>
        <v/>
      </c>
      <c r="CQ29" s="47">
        <f>IF('CF_Аренда'!CQ21&lt;=0,0,IF(OR('СРОКИ'!CQ10='CF_Аренда'!$B$5,AND('СРОКИ'!CQ10&gt;'СРОКИ'!$B$6,'CF_Аренда'!CQ27&lt;=0)),'CF_Аренда'!CQ21,IF('СРОКИ'!CQ10&gt;'СРОКИ'!$B$6,MIN('CF_Аренда'!CQ21,MAX(0,'CF_Аренда'!CQ28-'CF_Аренда'!CQ18)),0)))*'CF_Аренда'!CQ6</f>
        <v/>
      </c>
      <c r="CR29" s="47">
        <f>IF('CF_Аренда'!CR21&lt;=0,0,IF(OR('СРОКИ'!CR10='CF_Аренда'!$B$5,AND('СРОКИ'!CR10&gt;'СРОКИ'!$B$6,'CF_Аренда'!CR27&lt;=0)),'CF_Аренда'!CR21,IF('СРОКИ'!CR10&gt;'СРОКИ'!$B$6,MIN('CF_Аренда'!CR21,MAX(0,'CF_Аренда'!CR28-'CF_Аренда'!CR18)),0)))*'CF_Аренда'!CR6</f>
        <v/>
      </c>
      <c r="CS29" s="47">
        <f>IF('CF_Аренда'!CS21&lt;=0,0,IF(OR('СРОКИ'!CS10='CF_Аренда'!$B$5,AND('СРОКИ'!CS10&gt;'СРОКИ'!$B$6,'CF_Аренда'!CS27&lt;=0)),'CF_Аренда'!CS21,IF('СРОКИ'!CS10&gt;'СРОКИ'!$B$6,MIN('CF_Аренда'!CS21,MAX(0,'CF_Аренда'!CS28-'CF_Аренда'!CS18)),0)))*'CF_Аренда'!CS6</f>
        <v/>
      </c>
      <c r="CT29" s="47">
        <f>IF('CF_Аренда'!CT21&lt;=0,0,IF(OR('СРОКИ'!CT10='CF_Аренда'!$B$5,AND('СРОКИ'!CT10&gt;'СРОКИ'!$B$6,'CF_Аренда'!CT27&lt;=0)),'CF_Аренда'!CT21,IF('СРОКИ'!CT10&gt;'СРОКИ'!$B$6,MIN('CF_Аренда'!CT21,MAX(0,'CF_Аренда'!CT28-'CF_Аренда'!CT18)),0)))*'CF_Аренда'!CT6</f>
        <v/>
      </c>
      <c r="CU29" s="47">
        <f>IF('CF_Аренда'!CU21&lt;=0,0,IF(OR('СРОКИ'!CU10='CF_Аренда'!$B$5,AND('СРОКИ'!CU10&gt;'СРОКИ'!$B$6,'CF_Аренда'!CU27&lt;=0)),'CF_Аренда'!CU21,IF('СРОКИ'!CU10&gt;'СРОКИ'!$B$6,MIN('CF_Аренда'!CU21,MAX(0,'CF_Аренда'!CU28-'CF_Аренда'!CU18)),0)))*'CF_Аренда'!CU6</f>
        <v/>
      </c>
      <c r="CV29" s="47">
        <f>IF('CF_Аренда'!CV21&lt;=0,0,IF(OR('СРОКИ'!CV10='CF_Аренда'!$B$5,AND('СРОКИ'!CV10&gt;'СРОКИ'!$B$6,'CF_Аренда'!CV27&lt;=0)),'CF_Аренда'!CV21,IF('СРОКИ'!CV10&gt;'СРОКИ'!$B$6,MIN('CF_Аренда'!CV21,MAX(0,'CF_Аренда'!CV28-'CF_Аренда'!CV18)),0)))*'CF_Аренда'!CV6</f>
        <v/>
      </c>
      <c r="CW29" s="47">
        <f>IF('CF_Аренда'!CW21&lt;=0,0,IF(OR('СРОКИ'!CW10='CF_Аренда'!$B$5,AND('СРОКИ'!CW10&gt;'СРОКИ'!$B$6,'CF_Аренда'!CW27&lt;=0)),'CF_Аренда'!CW21,IF('СРОКИ'!CW10&gt;'СРОКИ'!$B$6,MIN('CF_Аренда'!CW21,MAX(0,'CF_Аренда'!CW28-'CF_Аренда'!CW18)),0)))*'CF_Аренда'!CW6</f>
        <v/>
      </c>
      <c r="CX29" s="47">
        <f>IF('CF_Аренда'!CX21&lt;=0,0,IF(OR('СРОКИ'!CX10='CF_Аренда'!$B$5,AND('СРОКИ'!CX10&gt;'СРОКИ'!$B$6,'CF_Аренда'!CX27&lt;=0)),'CF_Аренда'!CX21,IF('СРОКИ'!CX10&gt;'СРОКИ'!$B$6,MIN('CF_Аренда'!CX21,MAX(0,'CF_Аренда'!CX28-'CF_Аренда'!CX18)),0)))*'CF_Аренда'!CX6</f>
        <v/>
      </c>
      <c r="CY29" s="47">
        <f>IF('CF_Аренда'!CY21&lt;=0,0,IF(OR('СРОКИ'!CY10='CF_Аренда'!$B$5,AND('СРОКИ'!CY10&gt;'СРОКИ'!$B$6,'CF_Аренда'!CY27&lt;=0)),'CF_Аренда'!CY21,IF('СРОКИ'!CY10&gt;'СРОКИ'!$B$6,MIN('CF_Аренда'!CY21,MAX(0,'CF_Аренда'!CY28-'CF_Аренда'!CY18)),0)))*'CF_Аренда'!CY6</f>
        <v/>
      </c>
      <c r="CZ29" s="47">
        <f>IF('CF_Аренда'!CZ21&lt;=0,0,IF(OR('СРОКИ'!CZ10='CF_Аренда'!$B$5,AND('СРОКИ'!CZ10&gt;'СРОКИ'!$B$6,'CF_Аренда'!CZ27&lt;=0)),'CF_Аренда'!CZ21,IF('СРОКИ'!CZ10&gt;'СРОКИ'!$B$6,MIN('CF_Аренда'!CZ21,MAX(0,'CF_Аренда'!CZ28-'CF_Аренда'!CZ18)),0)))*'CF_Аренда'!CZ6</f>
        <v/>
      </c>
      <c r="DA29" s="47">
        <f>IF('CF_Аренда'!DA21&lt;=0,0,IF(OR('СРОКИ'!DA10='CF_Аренда'!$B$5,AND('СРОКИ'!DA10&gt;'СРОКИ'!$B$6,'CF_Аренда'!DA27&lt;=0)),'CF_Аренда'!DA21,IF('СРОКИ'!DA10&gt;'СРОКИ'!$B$6,MIN('CF_Аренда'!DA21,MAX(0,'CF_Аренда'!DA28-'CF_Аренда'!DA18)),0)))*'CF_Аренда'!DA6</f>
        <v/>
      </c>
      <c r="DB29" s="47">
        <f>IF('CF_Аренда'!DB21&lt;=0,0,IF(OR('СРОКИ'!DB10='CF_Аренда'!$B$5,AND('СРОКИ'!DB10&gt;'СРОКИ'!$B$6,'CF_Аренда'!DB27&lt;=0)),'CF_Аренда'!DB21,IF('СРОКИ'!DB10&gt;'СРОКИ'!$B$6,MIN('CF_Аренда'!DB21,MAX(0,'CF_Аренда'!DB28-'CF_Аренда'!DB18)),0)))*'CF_Аренда'!DB6</f>
        <v/>
      </c>
      <c r="DC29" s="47">
        <f>IF('CF_Аренда'!DC21&lt;=0,0,IF(OR('СРОКИ'!DC10='CF_Аренда'!$B$5,AND('СРОКИ'!DC10&gt;'СРОКИ'!$B$6,'CF_Аренда'!DC27&lt;=0)),'CF_Аренда'!DC21,IF('СРОКИ'!DC10&gt;'СРОКИ'!$B$6,MIN('CF_Аренда'!DC21,MAX(0,'CF_Аренда'!DC28-'CF_Аренда'!DC18)),0)))*'CF_Аренда'!DC6</f>
        <v/>
      </c>
      <c r="DD29" s="47">
        <f>IF('CF_Аренда'!DD21&lt;=0,0,IF(OR('СРОКИ'!DD10='CF_Аренда'!$B$5,AND('СРОКИ'!DD10&gt;'СРОКИ'!$B$6,'CF_Аренда'!DD27&lt;=0)),'CF_Аренда'!DD21,IF('СРОКИ'!DD10&gt;'СРОКИ'!$B$6,MIN('CF_Аренда'!DD21,MAX(0,'CF_Аренда'!DD28-'CF_Аренда'!DD18)),0)))*'CF_Аренда'!DD6</f>
        <v/>
      </c>
      <c r="DE29" s="47">
        <f>IF('CF_Аренда'!DE21&lt;=0,0,IF(OR('СРОКИ'!DE10='CF_Аренда'!$B$5,AND('СРОКИ'!DE10&gt;'СРОКИ'!$B$6,'CF_Аренда'!DE27&lt;=0)),'CF_Аренда'!DE21,IF('СРОКИ'!DE10&gt;'СРОКИ'!$B$6,MIN('CF_Аренда'!DE21,MAX(0,'CF_Аренда'!DE28-'CF_Аренда'!DE18)),0)))*'CF_Аренда'!DE6</f>
        <v/>
      </c>
      <c r="DF29" s="47">
        <f>IF('CF_Аренда'!DF21&lt;=0,0,IF(OR('СРОКИ'!DF10='CF_Аренда'!$B$5,AND('СРОКИ'!DF10&gt;'СРОКИ'!$B$6,'CF_Аренда'!DF27&lt;=0)),'CF_Аренда'!DF21,IF('СРОКИ'!DF10&gt;'СРОКИ'!$B$6,MIN('CF_Аренда'!DF21,MAX(0,'CF_Аренда'!DF28-'CF_Аренда'!DF18)),0)))*'CF_Аренда'!DF6</f>
        <v/>
      </c>
      <c r="DG29" s="47">
        <f>IF('CF_Аренда'!DG21&lt;=0,0,IF(OR('СРОКИ'!DG10='CF_Аренда'!$B$5,AND('СРОКИ'!DG10&gt;'СРОКИ'!$B$6,'CF_Аренда'!DG27&lt;=0)),'CF_Аренда'!DG21,IF('СРОКИ'!DG10&gt;'СРОКИ'!$B$6,MIN('CF_Аренда'!DG21,MAX(0,'CF_Аренда'!DG28-'CF_Аренда'!DG18)),0)))*'CF_Аренда'!DG6</f>
        <v/>
      </c>
      <c r="DH29" s="47">
        <f>IF('CF_Аренда'!DH21&lt;=0,0,IF(OR('СРОКИ'!DH10='CF_Аренда'!$B$5,AND('СРОКИ'!DH10&gt;'СРОКИ'!$B$6,'CF_Аренда'!DH27&lt;=0)),'CF_Аренда'!DH21,IF('СРОКИ'!DH10&gt;'СРОКИ'!$B$6,MIN('CF_Аренда'!DH21,MAX(0,'CF_Аренда'!DH28-'CF_Аренда'!DH18)),0)))*'CF_Аренда'!DH6</f>
        <v/>
      </c>
      <c r="DI29" s="47">
        <f>IF('CF_Аренда'!DI21&lt;=0,0,IF(OR('СРОКИ'!DI10='CF_Аренда'!$B$5,AND('СРОКИ'!DI10&gt;'СРОКИ'!$B$6,'CF_Аренда'!DI27&lt;=0)),'CF_Аренда'!DI21,IF('СРОКИ'!DI10&gt;'СРОКИ'!$B$6,MIN('CF_Аренда'!DI21,MAX(0,'CF_Аренда'!DI28-'CF_Аренда'!DI18)),0)))*'CF_Аренда'!DI6</f>
        <v/>
      </c>
      <c r="DJ29" s="47">
        <f>IF('CF_Аренда'!DJ21&lt;=0,0,IF(OR('СРОКИ'!DJ10='CF_Аренда'!$B$5,AND('СРОКИ'!DJ10&gt;'СРОКИ'!$B$6,'CF_Аренда'!DJ27&lt;=0)),'CF_Аренда'!DJ21,IF('СРОКИ'!DJ10&gt;'СРОКИ'!$B$6,MIN('CF_Аренда'!DJ21,MAX(0,'CF_Аренда'!DJ28-'CF_Аренда'!DJ18)),0)))*'CF_Аренда'!DJ6</f>
        <v/>
      </c>
      <c r="DK29" s="47">
        <f>IF('CF_Аренда'!DK21&lt;=0,0,IF(OR('СРОКИ'!DK10='CF_Аренда'!$B$5,AND('СРОКИ'!DK10&gt;'СРОКИ'!$B$6,'CF_Аренда'!DK27&lt;=0)),'CF_Аренда'!DK21,IF('СРОКИ'!DK10&gt;'СРОКИ'!$B$6,MIN('CF_Аренда'!DK21,MAX(0,'CF_Аренда'!DK28-'CF_Аренда'!DK18)),0)))*'CF_Аренда'!DK6</f>
        <v/>
      </c>
      <c r="DL29" s="47">
        <f>IF('CF_Аренда'!DL21&lt;=0,0,IF(OR('СРОКИ'!DL10='CF_Аренда'!$B$5,AND('СРОКИ'!DL10&gt;'СРОКИ'!$B$6,'CF_Аренда'!DL27&lt;=0)),'CF_Аренда'!DL21,IF('СРОКИ'!DL10&gt;'СРОКИ'!$B$6,MIN('CF_Аренда'!DL21,MAX(0,'CF_Аренда'!DL28-'CF_Аренда'!DL18)),0)))*'CF_Аренда'!DL6</f>
        <v/>
      </c>
      <c r="DM29" s="47">
        <f>IF('CF_Аренда'!DM21&lt;=0,0,IF(OR('СРОКИ'!DM10='CF_Аренда'!$B$5,AND('СРОКИ'!DM10&gt;'СРОКИ'!$B$6,'CF_Аренда'!DM27&lt;=0)),'CF_Аренда'!DM21,IF('СРОКИ'!DM10&gt;'СРОКИ'!$B$6,MIN('CF_Аренда'!DM21,MAX(0,'CF_Аренда'!DM28-'CF_Аренда'!DM18)),0)))*'CF_Аренда'!DM6</f>
        <v/>
      </c>
    </row>
    <row r="30">
      <c r="A30" s="42" t="inlineStr">
        <is>
          <t>Долг на конец месяца</t>
        </is>
      </c>
      <c r="B30" s="10" t="n"/>
      <c r="C30" s="37" t="inlineStr">
        <is>
          <t>млн ₽</t>
        </is>
      </c>
      <c r="D30" s="40">
        <f>'CF_Аренда'!D21-'CF_Аренда'!D29</f>
        <v/>
      </c>
      <c r="E30" s="40">
        <f>'CF_Аренда'!E21-'CF_Аренда'!E29</f>
        <v/>
      </c>
      <c r="F30" s="40">
        <f>'CF_Аренда'!F21-'CF_Аренда'!F29</f>
        <v/>
      </c>
      <c r="G30" s="40">
        <f>'CF_Аренда'!G21-'CF_Аренда'!G29</f>
        <v/>
      </c>
      <c r="H30" s="40">
        <f>'CF_Аренда'!H21-'CF_Аренда'!H29</f>
        <v/>
      </c>
      <c r="I30" s="40">
        <f>'CF_Аренда'!I21-'CF_Аренда'!I29</f>
        <v/>
      </c>
      <c r="J30" s="40">
        <f>'CF_Аренда'!J21-'CF_Аренда'!J29</f>
        <v/>
      </c>
      <c r="K30" s="40">
        <f>'CF_Аренда'!K21-'CF_Аренда'!K29</f>
        <v/>
      </c>
      <c r="L30" s="40">
        <f>'CF_Аренда'!L21-'CF_Аренда'!L29</f>
        <v/>
      </c>
      <c r="M30" s="40">
        <f>'CF_Аренда'!M21-'CF_Аренда'!M29</f>
        <v/>
      </c>
      <c r="N30" s="40">
        <f>'CF_Аренда'!N21-'CF_Аренда'!N29</f>
        <v/>
      </c>
      <c r="O30" s="40">
        <f>'CF_Аренда'!O21-'CF_Аренда'!O29</f>
        <v/>
      </c>
      <c r="P30" s="40">
        <f>'CF_Аренда'!P21-'CF_Аренда'!P29</f>
        <v/>
      </c>
      <c r="Q30" s="40">
        <f>'CF_Аренда'!Q21-'CF_Аренда'!Q29</f>
        <v/>
      </c>
      <c r="R30" s="40">
        <f>'CF_Аренда'!R21-'CF_Аренда'!R29</f>
        <v/>
      </c>
      <c r="S30" s="40">
        <f>'CF_Аренда'!S21-'CF_Аренда'!S29</f>
        <v/>
      </c>
      <c r="T30" s="40">
        <f>'CF_Аренда'!T21-'CF_Аренда'!T29</f>
        <v/>
      </c>
      <c r="U30" s="40">
        <f>'CF_Аренда'!U21-'CF_Аренда'!U29</f>
        <v/>
      </c>
      <c r="V30" s="40">
        <f>'CF_Аренда'!V21-'CF_Аренда'!V29</f>
        <v/>
      </c>
      <c r="W30" s="40">
        <f>'CF_Аренда'!W21-'CF_Аренда'!W29</f>
        <v/>
      </c>
      <c r="X30" s="40">
        <f>'CF_Аренда'!X21-'CF_Аренда'!X29</f>
        <v/>
      </c>
      <c r="Y30" s="40">
        <f>'CF_Аренда'!Y21-'CF_Аренда'!Y29</f>
        <v/>
      </c>
      <c r="Z30" s="40">
        <f>'CF_Аренда'!Z21-'CF_Аренда'!Z29</f>
        <v/>
      </c>
      <c r="AA30" s="40">
        <f>'CF_Аренда'!AA21-'CF_Аренда'!AA29</f>
        <v/>
      </c>
      <c r="AB30" s="40">
        <f>'CF_Аренда'!AB21-'CF_Аренда'!AB29</f>
        <v/>
      </c>
      <c r="AC30" s="40">
        <f>'CF_Аренда'!AC21-'CF_Аренда'!AC29</f>
        <v/>
      </c>
      <c r="AD30" s="40">
        <f>'CF_Аренда'!AD21-'CF_Аренда'!AD29</f>
        <v/>
      </c>
      <c r="AE30" s="40">
        <f>'CF_Аренда'!AE21-'CF_Аренда'!AE29</f>
        <v/>
      </c>
      <c r="AF30" s="40">
        <f>'CF_Аренда'!AF21-'CF_Аренда'!AF29</f>
        <v/>
      </c>
      <c r="AG30" s="40">
        <f>'CF_Аренда'!AG21-'CF_Аренда'!AG29</f>
        <v/>
      </c>
      <c r="AH30" s="40">
        <f>'CF_Аренда'!AH21-'CF_Аренда'!AH29</f>
        <v/>
      </c>
      <c r="AI30" s="40">
        <f>'CF_Аренда'!AI21-'CF_Аренда'!AI29</f>
        <v/>
      </c>
      <c r="AJ30" s="40">
        <f>'CF_Аренда'!AJ21-'CF_Аренда'!AJ29</f>
        <v/>
      </c>
      <c r="AK30" s="40">
        <f>'CF_Аренда'!AK21-'CF_Аренда'!AK29</f>
        <v/>
      </c>
      <c r="AL30" s="40">
        <f>'CF_Аренда'!AL21-'CF_Аренда'!AL29</f>
        <v/>
      </c>
      <c r="AM30" s="40">
        <f>'CF_Аренда'!AM21-'CF_Аренда'!AM29</f>
        <v/>
      </c>
      <c r="AN30" s="40">
        <f>'CF_Аренда'!AN21-'CF_Аренда'!AN29</f>
        <v/>
      </c>
      <c r="AO30" s="40">
        <f>'CF_Аренда'!AO21-'CF_Аренда'!AO29</f>
        <v/>
      </c>
      <c r="AP30" s="40">
        <f>'CF_Аренда'!AP21-'CF_Аренда'!AP29</f>
        <v/>
      </c>
      <c r="AQ30" s="40">
        <f>'CF_Аренда'!AQ21-'CF_Аренда'!AQ29</f>
        <v/>
      </c>
      <c r="AR30" s="40">
        <f>'CF_Аренда'!AR21-'CF_Аренда'!AR29</f>
        <v/>
      </c>
      <c r="AS30" s="40">
        <f>'CF_Аренда'!AS21-'CF_Аренда'!AS29</f>
        <v/>
      </c>
      <c r="AT30" s="40">
        <f>'CF_Аренда'!AT21-'CF_Аренда'!AT29</f>
        <v/>
      </c>
      <c r="AU30" s="40">
        <f>'CF_Аренда'!AU21-'CF_Аренда'!AU29</f>
        <v/>
      </c>
      <c r="AV30" s="40">
        <f>'CF_Аренда'!AV21-'CF_Аренда'!AV29</f>
        <v/>
      </c>
      <c r="AW30" s="40">
        <f>'CF_Аренда'!AW21-'CF_Аренда'!AW29</f>
        <v/>
      </c>
      <c r="AX30" s="40">
        <f>'CF_Аренда'!AX21-'CF_Аренда'!AX29</f>
        <v/>
      </c>
      <c r="AY30" s="40">
        <f>'CF_Аренда'!AY21-'CF_Аренда'!AY29</f>
        <v/>
      </c>
      <c r="AZ30" s="40">
        <f>'CF_Аренда'!AZ21-'CF_Аренда'!AZ29</f>
        <v/>
      </c>
      <c r="BA30" s="40">
        <f>'CF_Аренда'!BA21-'CF_Аренда'!BA29</f>
        <v/>
      </c>
      <c r="BB30" s="40">
        <f>'CF_Аренда'!BB21-'CF_Аренда'!BB29</f>
        <v/>
      </c>
      <c r="BC30" s="40">
        <f>'CF_Аренда'!BC21-'CF_Аренда'!BC29</f>
        <v/>
      </c>
      <c r="BD30" s="40">
        <f>'CF_Аренда'!BD21-'CF_Аренда'!BD29</f>
        <v/>
      </c>
      <c r="BE30" s="40">
        <f>'CF_Аренда'!BE21-'CF_Аренда'!BE29</f>
        <v/>
      </c>
      <c r="BF30" s="40">
        <f>'CF_Аренда'!BF21-'CF_Аренда'!BF29</f>
        <v/>
      </c>
      <c r="BG30" s="40">
        <f>'CF_Аренда'!BG21-'CF_Аренда'!BG29</f>
        <v/>
      </c>
      <c r="BH30" s="40">
        <f>'CF_Аренда'!BH21-'CF_Аренда'!BH29</f>
        <v/>
      </c>
      <c r="BI30" s="40">
        <f>'CF_Аренда'!BI21-'CF_Аренда'!BI29</f>
        <v/>
      </c>
      <c r="BJ30" s="40">
        <f>'CF_Аренда'!BJ21-'CF_Аренда'!BJ29</f>
        <v/>
      </c>
      <c r="BK30" s="40">
        <f>'CF_Аренда'!BK21-'CF_Аренда'!BK29</f>
        <v/>
      </c>
      <c r="BL30" s="40">
        <f>'CF_Аренда'!BL21-'CF_Аренда'!BL29</f>
        <v/>
      </c>
      <c r="BM30" s="40">
        <f>'CF_Аренда'!BM21-'CF_Аренда'!BM29</f>
        <v/>
      </c>
      <c r="BN30" s="40">
        <f>'CF_Аренда'!BN21-'CF_Аренда'!BN29</f>
        <v/>
      </c>
      <c r="BO30" s="40">
        <f>'CF_Аренда'!BO21-'CF_Аренда'!BO29</f>
        <v/>
      </c>
      <c r="BP30" s="40">
        <f>'CF_Аренда'!BP21-'CF_Аренда'!BP29</f>
        <v/>
      </c>
      <c r="BQ30" s="40">
        <f>'CF_Аренда'!BQ21-'CF_Аренда'!BQ29</f>
        <v/>
      </c>
      <c r="BR30" s="40">
        <f>'CF_Аренда'!BR21-'CF_Аренда'!BR29</f>
        <v/>
      </c>
      <c r="BS30" s="40">
        <f>'CF_Аренда'!BS21-'CF_Аренда'!BS29</f>
        <v/>
      </c>
      <c r="BT30" s="40">
        <f>'CF_Аренда'!BT21-'CF_Аренда'!BT29</f>
        <v/>
      </c>
      <c r="BU30" s="40">
        <f>'CF_Аренда'!BU21-'CF_Аренда'!BU29</f>
        <v/>
      </c>
      <c r="BV30" s="40">
        <f>'CF_Аренда'!BV21-'CF_Аренда'!BV29</f>
        <v/>
      </c>
      <c r="BW30" s="40">
        <f>'CF_Аренда'!BW21-'CF_Аренда'!BW29</f>
        <v/>
      </c>
      <c r="BX30" s="40">
        <f>'CF_Аренда'!BX21-'CF_Аренда'!BX29</f>
        <v/>
      </c>
      <c r="BY30" s="40">
        <f>'CF_Аренда'!BY21-'CF_Аренда'!BY29</f>
        <v/>
      </c>
      <c r="BZ30" s="40">
        <f>'CF_Аренда'!BZ21-'CF_Аренда'!BZ29</f>
        <v/>
      </c>
      <c r="CA30" s="40">
        <f>'CF_Аренда'!CA21-'CF_Аренда'!CA29</f>
        <v/>
      </c>
      <c r="CB30" s="40">
        <f>'CF_Аренда'!CB21-'CF_Аренда'!CB29</f>
        <v/>
      </c>
      <c r="CC30" s="40">
        <f>'CF_Аренда'!CC21-'CF_Аренда'!CC29</f>
        <v/>
      </c>
      <c r="CD30" s="40">
        <f>'CF_Аренда'!CD21-'CF_Аренда'!CD29</f>
        <v/>
      </c>
      <c r="CE30" s="40">
        <f>'CF_Аренда'!CE21-'CF_Аренда'!CE29</f>
        <v/>
      </c>
      <c r="CF30" s="40">
        <f>'CF_Аренда'!CF21-'CF_Аренда'!CF29</f>
        <v/>
      </c>
      <c r="CG30" s="40">
        <f>'CF_Аренда'!CG21-'CF_Аренда'!CG29</f>
        <v/>
      </c>
      <c r="CH30" s="40">
        <f>'CF_Аренда'!CH21-'CF_Аренда'!CH29</f>
        <v/>
      </c>
      <c r="CI30" s="40">
        <f>'CF_Аренда'!CI21-'CF_Аренда'!CI29</f>
        <v/>
      </c>
      <c r="CJ30" s="40">
        <f>'CF_Аренда'!CJ21-'CF_Аренда'!CJ29</f>
        <v/>
      </c>
      <c r="CK30" s="40">
        <f>'CF_Аренда'!CK21-'CF_Аренда'!CK29</f>
        <v/>
      </c>
      <c r="CL30" s="40">
        <f>'CF_Аренда'!CL21-'CF_Аренда'!CL29</f>
        <v/>
      </c>
      <c r="CM30" s="40">
        <f>'CF_Аренда'!CM21-'CF_Аренда'!CM29</f>
        <v/>
      </c>
      <c r="CN30" s="40">
        <f>'CF_Аренда'!CN21-'CF_Аренда'!CN29</f>
        <v/>
      </c>
      <c r="CO30" s="40">
        <f>'CF_Аренда'!CO21-'CF_Аренда'!CO29</f>
        <v/>
      </c>
      <c r="CP30" s="40">
        <f>'CF_Аренда'!CP21-'CF_Аренда'!CP29</f>
        <v/>
      </c>
      <c r="CQ30" s="40">
        <f>'CF_Аренда'!CQ21-'CF_Аренда'!CQ29</f>
        <v/>
      </c>
      <c r="CR30" s="40">
        <f>'CF_Аренда'!CR21-'CF_Аренда'!CR29</f>
        <v/>
      </c>
      <c r="CS30" s="40">
        <f>'CF_Аренда'!CS21-'CF_Аренда'!CS29</f>
        <v/>
      </c>
      <c r="CT30" s="40">
        <f>'CF_Аренда'!CT21-'CF_Аренда'!CT29</f>
        <v/>
      </c>
      <c r="CU30" s="40">
        <f>'CF_Аренда'!CU21-'CF_Аренда'!CU29</f>
        <v/>
      </c>
      <c r="CV30" s="40">
        <f>'CF_Аренда'!CV21-'CF_Аренда'!CV29</f>
        <v/>
      </c>
      <c r="CW30" s="40">
        <f>'CF_Аренда'!CW21-'CF_Аренда'!CW29</f>
        <v/>
      </c>
      <c r="CX30" s="40">
        <f>'CF_Аренда'!CX21-'CF_Аренда'!CX29</f>
        <v/>
      </c>
      <c r="CY30" s="40">
        <f>'CF_Аренда'!CY21-'CF_Аренда'!CY29</f>
        <v/>
      </c>
      <c r="CZ30" s="40">
        <f>'CF_Аренда'!CZ21-'CF_Аренда'!CZ29</f>
        <v/>
      </c>
      <c r="DA30" s="40">
        <f>'CF_Аренда'!DA21-'CF_Аренда'!DA29</f>
        <v/>
      </c>
      <c r="DB30" s="40">
        <f>'CF_Аренда'!DB21-'CF_Аренда'!DB29</f>
        <v/>
      </c>
      <c r="DC30" s="40">
        <f>'CF_Аренда'!DC21-'CF_Аренда'!DC29</f>
        <v/>
      </c>
      <c r="DD30" s="40">
        <f>'CF_Аренда'!DD21-'CF_Аренда'!DD29</f>
        <v/>
      </c>
      <c r="DE30" s="40">
        <f>'CF_Аренда'!DE21-'CF_Аренда'!DE29</f>
        <v/>
      </c>
      <c r="DF30" s="40">
        <f>'CF_Аренда'!DF21-'CF_Аренда'!DF29</f>
        <v/>
      </c>
      <c r="DG30" s="40">
        <f>'CF_Аренда'!DG21-'CF_Аренда'!DG29</f>
        <v/>
      </c>
      <c r="DH30" s="40">
        <f>'CF_Аренда'!DH21-'CF_Аренда'!DH29</f>
        <v/>
      </c>
      <c r="DI30" s="40">
        <f>'CF_Аренда'!DI21-'CF_Аренда'!DI29</f>
        <v/>
      </c>
      <c r="DJ30" s="40">
        <f>'CF_Аренда'!DJ21-'CF_Аренда'!DJ29</f>
        <v/>
      </c>
      <c r="DK30" s="40">
        <f>'CF_Аренда'!DK21-'CF_Аренда'!DK29</f>
        <v/>
      </c>
      <c r="DL30" s="40">
        <f>'CF_Аренда'!DL21-'CF_Аренда'!DL29</f>
        <v/>
      </c>
      <c r="DM30" s="40">
        <f>'CF_Аренда'!DM21-'CF_Аренда'!DM29</f>
        <v/>
      </c>
    </row>
    <row r="31">
      <c r="A31" s="36" t="inlineStr">
        <is>
          <t>Выдача линии 1 (до разрешения)</t>
        </is>
      </c>
      <c r="B31" s="40">
        <f>SUM(D31:DM31)</f>
        <v/>
      </c>
      <c r="C31" s="37" t="inlineStr">
        <is>
          <t>млн ₽</t>
        </is>
      </c>
      <c r="D31" s="47">
        <f>IF('СРОКИ'!D10&lt;'СРОКИ'!$B$5,'CF_Аренда'!D17,0)</f>
        <v/>
      </c>
      <c r="E31" s="47">
        <f>IF('СРОКИ'!E10&lt;'СРОКИ'!$B$5,'CF_Аренда'!E17,0)</f>
        <v/>
      </c>
      <c r="F31" s="47">
        <f>IF('СРОКИ'!F10&lt;'СРОКИ'!$B$5,'CF_Аренда'!F17,0)</f>
        <v/>
      </c>
      <c r="G31" s="47">
        <f>IF('СРОКИ'!G10&lt;'СРОКИ'!$B$5,'CF_Аренда'!G17,0)</f>
        <v/>
      </c>
      <c r="H31" s="47">
        <f>IF('СРОКИ'!H10&lt;'СРОКИ'!$B$5,'CF_Аренда'!H17,0)</f>
        <v/>
      </c>
      <c r="I31" s="47">
        <f>IF('СРОКИ'!I10&lt;'СРОКИ'!$B$5,'CF_Аренда'!I17,0)</f>
        <v/>
      </c>
      <c r="J31" s="47">
        <f>IF('СРОКИ'!J10&lt;'СРОКИ'!$B$5,'CF_Аренда'!J17,0)</f>
        <v/>
      </c>
      <c r="K31" s="47">
        <f>IF('СРОКИ'!K10&lt;'СРОКИ'!$B$5,'CF_Аренда'!K17,0)</f>
        <v/>
      </c>
      <c r="L31" s="47">
        <f>IF('СРОКИ'!L10&lt;'СРОКИ'!$B$5,'CF_Аренда'!L17,0)</f>
        <v/>
      </c>
      <c r="M31" s="47">
        <f>IF('СРОКИ'!M10&lt;'СРОКИ'!$B$5,'CF_Аренда'!M17,0)</f>
        <v/>
      </c>
      <c r="N31" s="47">
        <f>IF('СРОКИ'!N10&lt;'СРОКИ'!$B$5,'CF_Аренда'!N17,0)</f>
        <v/>
      </c>
      <c r="O31" s="47">
        <f>IF('СРОКИ'!O10&lt;'СРОКИ'!$B$5,'CF_Аренда'!O17,0)</f>
        <v/>
      </c>
      <c r="P31" s="47">
        <f>IF('СРОКИ'!P10&lt;'СРОКИ'!$B$5,'CF_Аренда'!P17,0)</f>
        <v/>
      </c>
      <c r="Q31" s="47">
        <f>IF('СРОКИ'!Q10&lt;'СРОКИ'!$B$5,'CF_Аренда'!Q17,0)</f>
        <v/>
      </c>
      <c r="R31" s="47">
        <f>IF('СРОКИ'!R10&lt;'СРОКИ'!$B$5,'CF_Аренда'!R17,0)</f>
        <v/>
      </c>
      <c r="S31" s="47">
        <f>IF('СРОКИ'!S10&lt;'СРОКИ'!$B$5,'CF_Аренда'!S17,0)</f>
        <v/>
      </c>
      <c r="T31" s="47">
        <f>IF('СРОКИ'!T10&lt;'СРОКИ'!$B$5,'CF_Аренда'!T17,0)</f>
        <v/>
      </c>
      <c r="U31" s="47">
        <f>IF('СРОКИ'!U10&lt;'СРОКИ'!$B$5,'CF_Аренда'!U17,0)</f>
        <v/>
      </c>
      <c r="V31" s="47">
        <f>IF('СРОКИ'!V10&lt;'СРОКИ'!$B$5,'CF_Аренда'!V17,0)</f>
        <v/>
      </c>
      <c r="W31" s="47">
        <f>IF('СРОКИ'!W10&lt;'СРОКИ'!$B$5,'CF_Аренда'!W17,0)</f>
        <v/>
      </c>
      <c r="X31" s="47">
        <f>IF('СРОКИ'!X10&lt;'СРОКИ'!$B$5,'CF_Аренда'!X17,0)</f>
        <v/>
      </c>
      <c r="Y31" s="47">
        <f>IF('СРОКИ'!Y10&lt;'СРОКИ'!$B$5,'CF_Аренда'!Y17,0)</f>
        <v/>
      </c>
      <c r="Z31" s="47">
        <f>IF('СРОКИ'!Z10&lt;'СРОКИ'!$B$5,'CF_Аренда'!Z17,0)</f>
        <v/>
      </c>
      <c r="AA31" s="47">
        <f>IF('СРОКИ'!AA10&lt;'СРОКИ'!$B$5,'CF_Аренда'!AA17,0)</f>
        <v/>
      </c>
      <c r="AB31" s="47">
        <f>IF('СРОКИ'!AB10&lt;'СРОКИ'!$B$5,'CF_Аренда'!AB17,0)</f>
        <v/>
      </c>
      <c r="AC31" s="47">
        <f>IF('СРОКИ'!AC10&lt;'СРОКИ'!$B$5,'CF_Аренда'!AC17,0)</f>
        <v/>
      </c>
      <c r="AD31" s="47">
        <f>IF('СРОКИ'!AD10&lt;'СРОКИ'!$B$5,'CF_Аренда'!AD17,0)</f>
        <v/>
      </c>
      <c r="AE31" s="47">
        <f>IF('СРОКИ'!AE10&lt;'СРОКИ'!$B$5,'CF_Аренда'!AE17,0)</f>
        <v/>
      </c>
      <c r="AF31" s="47">
        <f>IF('СРОКИ'!AF10&lt;'СРОКИ'!$B$5,'CF_Аренда'!AF17,0)</f>
        <v/>
      </c>
      <c r="AG31" s="47">
        <f>IF('СРОКИ'!AG10&lt;'СРОКИ'!$B$5,'CF_Аренда'!AG17,0)</f>
        <v/>
      </c>
      <c r="AH31" s="47">
        <f>IF('СРОКИ'!AH10&lt;'СРОКИ'!$B$5,'CF_Аренда'!AH17,0)</f>
        <v/>
      </c>
      <c r="AI31" s="47">
        <f>IF('СРОКИ'!AI10&lt;'СРОКИ'!$B$5,'CF_Аренда'!AI17,0)</f>
        <v/>
      </c>
      <c r="AJ31" s="47">
        <f>IF('СРОКИ'!AJ10&lt;'СРОКИ'!$B$5,'CF_Аренда'!AJ17,0)</f>
        <v/>
      </c>
      <c r="AK31" s="47">
        <f>IF('СРОКИ'!AK10&lt;'СРОКИ'!$B$5,'CF_Аренда'!AK17,0)</f>
        <v/>
      </c>
      <c r="AL31" s="47">
        <f>IF('СРОКИ'!AL10&lt;'СРОКИ'!$B$5,'CF_Аренда'!AL17,0)</f>
        <v/>
      </c>
      <c r="AM31" s="47">
        <f>IF('СРОКИ'!AM10&lt;'СРОКИ'!$B$5,'CF_Аренда'!AM17,0)</f>
        <v/>
      </c>
      <c r="AN31" s="47">
        <f>IF('СРОКИ'!AN10&lt;'СРОКИ'!$B$5,'CF_Аренда'!AN17,0)</f>
        <v/>
      </c>
      <c r="AO31" s="47">
        <f>IF('СРОКИ'!AO10&lt;'СРОКИ'!$B$5,'CF_Аренда'!AO17,0)</f>
        <v/>
      </c>
      <c r="AP31" s="47">
        <f>IF('СРОКИ'!AP10&lt;'СРОКИ'!$B$5,'CF_Аренда'!AP17,0)</f>
        <v/>
      </c>
      <c r="AQ31" s="47">
        <f>IF('СРОКИ'!AQ10&lt;'СРОКИ'!$B$5,'CF_Аренда'!AQ17,0)</f>
        <v/>
      </c>
      <c r="AR31" s="47">
        <f>IF('СРОКИ'!AR10&lt;'СРОКИ'!$B$5,'CF_Аренда'!AR17,0)</f>
        <v/>
      </c>
      <c r="AS31" s="47">
        <f>IF('СРОКИ'!AS10&lt;'СРОКИ'!$B$5,'CF_Аренда'!AS17,0)</f>
        <v/>
      </c>
      <c r="AT31" s="47">
        <f>IF('СРОКИ'!AT10&lt;'СРОКИ'!$B$5,'CF_Аренда'!AT17,0)</f>
        <v/>
      </c>
      <c r="AU31" s="47">
        <f>IF('СРОКИ'!AU10&lt;'СРОКИ'!$B$5,'CF_Аренда'!AU17,0)</f>
        <v/>
      </c>
      <c r="AV31" s="47">
        <f>IF('СРОКИ'!AV10&lt;'СРОКИ'!$B$5,'CF_Аренда'!AV17,0)</f>
        <v/>
      </c>
      <c r="AW31" s="47">
        <f>IF('СРОКИ'!AW10&lt;'СРОКИ'!$B$5,'CF_Аренда'!AW17,0)</f>
        <v/>
      </c>
      <c r="AX31" s="47">
        <f>IF('СРОКИ'!AX10&lt;'СРОКИ'!$B$5,'CF_Аренда'!AX17,0)</f>
        <v/>
      </c>
      <c r="AY31" s="47">
        <f>IF('СРОКИ'!AY10&lt;'СРОКИ'!$B$5,'CF_Аренда'!AY17,0)</f>
        <v/>
      </c>
      <c r="AZ31" s="47">
        <f>IF('СРОКИ'!AZ10&lt;'СРОКИ'!$B$5,'CF_Аренда'!AZ17,0)</f>
        <v/>
      </c>
      <c r="BA31" s="47">
        <f>IF('СРОКИ'!BA10&lt;'СРОКИ'!$B$5,'CF_Аренда'!BA17,0)</f>
        <v/>
      </c>
      <c r="BB31" s="47">
        <f>IF('СРОКИ'!BB10&lt;'СРОКИ'!$B$5,'CF_Аренда'!BB17,0)</f>
        <v/>
      </c>
      <c r="BC31" s="47">
        <f>IF('СРОКИ'!BC10&lt;'СРОКИ'!$B$5,'CF_Аренда'!BC17,0)</f>
        <v/>
      </c>
      <c r="BD31" s="47">
        <f>IF('СРОКИ'!BD10&lt;'СРОКИ'!$B$5,'CF_Аренда'!BD17,0)</f>
        <v/>
      </c>
      <c r="BE31" s="47">
        <f>IF('СРОКИ'!BE10&lt;'СРОКИ'!$B$5,'CF_Аренда'!BE17,0)</f>
        <v/>
      </c>
      <c r="BF31" s="47">
        <f>IF('СРОКИ'!BF10&lt;'СРОКИ'!$B$5,'CF_Аренда'!BF17,0)</f>
        <v/>
      </c>
      <c r="BG31" s="47">
        <f>IF('СРОКИ'!BG10&lt;'СРОКИ'!$B$5,'CF_Аренда'!BG17,0)</f>
        <v/>
      </c>
      <c r="BH31" s="47">
        <f>IF('СРОКИ'!BH10&lt;'СРОКИ'!$B$5,'CF_Аренда'!BH17,0)</f>
        <v/>
      </c>
      <c r="BI31" s="47">
        <f>IF('СРОКИ'!BI10&lt;'СРОКИ'!$B$5,'CF_Аренда'!BI17,0)</f>
        <v/>
      </c>
      <c r="BJ31" s="47">
        <f>IF('СРОКИ'!BJ10&lt;'СРОКИ'!$B$5,'CF_Аренда'!BJ17,0)</f>
        <v/>
      </c>
      <c r="BK31" s="47">
        <f>IF('СРОКИ'!BK10&lt;'СРОКИ'!$B$5,'CF_Аренда'!BK17,0)</f>
        <v/>
      </c>
      <c r="BL31" s="47">
        <f>IF('СРОКИ'!BL10&lt;'СРОКИ'!$B$5,'CF_Аренда'!BL17,0)</f>
        <v/>
      </c>
      <c r="BM31" s="47">
        <f>IF('СРОКИ'!BM10&lt;'СРОКИ'!$B$5,'CF_Аренда'!BM17,0)</f>
        <v/>
      </c>
      <c r="BN31" s="47">
        <f>IF('СРОКИ'!BN10&lt;'СРОКИ'!$B$5,'CF_Аренда'!BN17,0)</f>
        <v/>
      </c>
      <c r="BO31" s="47">
        <f>IF('СРОКИ'!BO10&lt;'СРОКИ'!$B$5,'CF_Аренда'!BO17,0)</f>
        <v/>
      </c>
      <c r="BP31" s="47">
        <f>IF('СРОКИ'!BP10&lt;'СРОКИ'!$B$5,'CF_Аренда'!BP17,0)</f>
        <v/>
      </c>
      <c r="BQ31" s="47">
        <f>IF('СРОКИ'!BQ10&lt;'СРОКИ'!$B$5,'CF_Аренда'!BQ17,0)</f>
        <v/>
      </c>
      <c r="BR31" s="47">
        <f>IF('СРОКИ'!BR10&lt;'СРОКИ'!$B$5,'CF_Аренда'!BR17,0)</f>
        <v/>
      </c>
      <c r="BS31" s="47">
        <f>IF('СРОКИ'!BS10&lt;'СРОКИ'!$B$5,'CF_Аренда'!BS17,0)</f>
        <v/>
      </c>
      <c r="BT31" s="47">
        <f>IF('СРОКИ'!BT10&lt;'СРОКИ'!$B$5,'CF_Аренда'!BT17,0)</f>
        <v/>
      </c>
      <c r="BU31" s="47">
        <f>IF('СРОКИ'!BU10&lt;'СРОКИ'!$B$5,'CF_Аренда'!BU17,0)</f>
        <v/>
      </c>
      <c r="BV31" s="47">
        <f>IF('СРОКИ'!BV10&lt;'СРОКИ'!$B$5,'CF_Аренда'!BV17,0)</f>
        <v/>
      </c>
      <c r="BW31" s="47">
        <f>IF('СРОКИ'!BW10&lt;'СРОКИ'!$B$5,'CF_Аренда'!BW17,0)</f>
        <v/>
      </c>
      <c r="BX31" s="47">
        <f>IF('СРОКИ'!BX10&lt;'СРОКИ'!$B$5,'CF_Аренда'!BX17,0)</f>
        <v/>
      </c>
      <c r="BY31" s="47">
        <f>IF('СРОКИ'!BY10&lt;'СРОКИ'!$B$5,'CF_Аренда'!BY17,0)</f>
        <v/>
      </c>
      <c r="BZ31" s="47">
        <f>IF('СРОКИ'!BZ10&lt;'СРОКИ'!$B$5,'CF_Аренда'!BZ17,0)</f>
        <v/>
      </c>
      <c r="CA31" s="47">
        <f>IF('СРОКИ'!CA10&lt;'СРОКИ'!$B$5,'CF_Аренда'!CA17,0)</f>
        <v/>
      </c>
      <c r="CB31" s="47">
        <f>IF('СРОКИ'!CB10&lt;'СРОКИ'!$B$5,'CF_Аренда'!CB17,0)</f>
        <v/>
      </c>
      <c r="CC31" s="47">
        <f>IF('СРОКИ'!CC10&lt;'СРОКИ'!$B$5,'CF_Аренда'!CC17,0)</f>
        <v/>
      </c>
      <c r="CD31" s="47">
        <f>IF('СРОКИ'!CD10&lt;'СРОКИ'!$B$5,'CF_Аренда'!CD17,0)</f>
        <v/>
      </c>
      <c r="CE31" s="47">
        <f>IF('СРОКИ'!CE10&lt;'СРОКИ'!$B$5,'CF_Аренда'!CE17,0)</f>
        <v/>
      </c>
      <c r="CF31" s="47">
        <f>IF('СРОКИ'!CF10&lt;'СРОКИ'!$B$5,'CF_Аренда'!CF17,0)</f>
        <v/>
      </c>
      <c r="CG31" s="47">
        <f>IF('СРОКИ'!CG10&lt;'СРОКИ'!$B$5,'CF_Аренда'!CG17,0)</f>
        <v/>
      </c>
      <c r="CH31" s="47">
        <f>IF('СРОКИ'!CH10&lt;'СРОКИ'!$B$5,'CF_Аренда'!CH17,0)</f>
        <v/>
      </c>
      <c r="CI31" s="47">
        <f>IF('СРОКИ'!CI10&lt;'СРОКИ'!$B$5,'CF_Аренда'!CI17,0)</f>
        <v/>
      </c>
      <c r="CJ31" s="47">
        <f>IF('СРОКИ'!CJ10&lt;'СРОКИ'!$B$5,'CF_Аренда'!CJ17,0)</f>
        <v/>
      </c>
      <c r="CK31" s="47">
        <f>IF('СРОКИ'!CK10&lt;'СРОКИ'!$B$5,'CF_Аренда'!CK17,0)</f>
        <v/>
      </c>
      <c r="CL31" s="47">
        <f>IF('СРОКИ'!CL10&lt;'СРОКИ'!$B$5,'CF_Аренда'!CL17,0)</f>
        <v/>
      </c>
      <c r="CM31" s="47">
        <f>IF('СРОКИ'!CM10&lt;'СРОКИ'!$B$5,'CF_Аренда'!CM17,0)</f>
        <v/>
      </c>
      <c r="CN31" s="47">
        <f>IF('СРОКИ'!CN10&lt;'СРОКИ'!$B$5,'CF_Аренда'!CN17,0)</f>
        <v/>
      </c>
      <c r="CO31" s="47">
        <f>IF('СРОКИ'!CO10&lt;'СРОКИ'!$B$5,'CF_Аренда'!CO17,0)</f>
        <v/>
      </c>
      <c r="CP31" s="47">
        <f>IF('СРОКИ'!CP10&lt;'СРОКИ'!$B$5,'CF_Аренда'!CP17,0)</f>
        <v/>
      </c>
      <c r="CQ31" s="47">
        <f>IF('СРОКИ'!CQ10&lt;'СРОКИ'!$B$5,'CF_Аренда'!CQ17,0)</f>
        <v/>
      </c>
      <c r="CR31" s="47">
        <f>IF('СРОКИ'!CR10&lt;'СРОКИ'!$B$5,'CF_Аренда'!CR17,0)</f>
        <v/>
      </c>
      <c r="CS31" s="47">
        <f>IF('СРОКИ'!CS10&lt;'СРОКИ'!$B$5,'CF_Аренда'!CS17,0)</f>
        <v/>
      </c>
      <c r="CT31" s="47">
        <f>IF('СРОКИ'!CT10&lt;'СРОКИ'!$B$5,'CF_Аренда'!CT17,0)</f>
        <v/>
      </c>
      <c r="CU31" s="47">
        <f>IF('СРОКИ'!CU10&lt;'СРОКИ'!$B$5,'CF_Аренда'!CU17,0)</f>
        <v/>
      </c>
      <c r="CV31" s="47">
        <f>IF('СРОКИ'!CV10&lt;'СРОКИ'!$B$5,'CF_Аренда'!CV17,0)</f>
        <v/>
      </c>
      <c r="CW31" s="47">
        <f>IF('СРОКИ'!CW10&lt;'СРОКИ'!$B$5,'CF_Аренда'!CW17,0)</f>
        <v/>
      </c>
      <c r="CX31" s="47">
        <f>IF('СРОКИ'!CX10&lt;'СРОКИ'!$B$5,'CF_Аренда'!CX17,0)</f>
        <v/>
      </c>
      <c r="CY31" s="47">
        <f>IF('СРОКИ'!CY10&lt;'СРОКИ'!$B$5,'CF_Аренда'!CY17,0)</f>
        <v/>
      </c>
      <c r="CZ31" s="47">
        <f>IF('СРОКИ'!CZ10&lt;'СРОКИ'!$B$5,'CF_Аренда'!CZ17,0)</f>
        <v/>
      </c>
      <c r="DA31" s="47">
        <f>IF('СРОКИ'!DA10&lt;'СРОКИ'!$B$5,'CF_Аренда'!DA17,0)</f>
        <v/>
      </c>
      <c r="DB31" s="47">
        <f>IF('СРОКИ'!DB10&lt;'СРОКИ'!$B$5,'CF_Аренда'!DB17,0)</f>
        <v/>
      </c>
      <c r="DC31" s="47">
        <f>IF('СРОКИ'!DC10&lt;'СРОКИ'!$B$5,'CF_Аренда'!DC17,0)</f>
        <v/>
      </c>
      <c r="DD31" s="47">
        <f>IF('СРОКИ'!DD10&lt;'СРОКИ'!$B$5,'CF_Аренда'!DD17,0)</f>
        <v/>
      </c>
      <c r="DE31" s="47">
        <f>IF('СРОКИ'!DE10&lt;'СРОКИ'!$B$5,'CF_Аренда'!DE17,0)</f>
        <v/>
      </c>
      <c r="DF31" s="47">
        <f>IF('СРОКИ'!DF10&lt;'СРОКИ'!$B$5,'CF_Аренда'!DF17,0)</f>
        <v/>
      </c>
      <c r="DG31" s="47">
        <f>IF('СРОКИ'!DG10&lt;'СРОКИ'!$B$5,'CF_Аренда'!DG17,0)</f>
        <v/>
      </c>
      <c r="DH31" s="47">
        <f>IF('СРОКИ'!DH10&lt;'СРОКИ'!$B$5,'CF_Аренда'!DH17,0)</f>
        <v/>
      </c>
      <c r="DI31" s="47">
        <f>IF('СРОКИ'!DI10&lt;'СРОКИ'!$B$5,'CF_Аренда'!DI17,0)</f>
        <v/>
      </c>
      <c r="DJ31" s="47">
        <f>IF('СРОКИ'!DJ10&lt;'СРОКИ'!$B$5,'CF_Аренда'!DJ17,0)</f>
        <v/>
      </c>
      <c r="DK31" s="47">
        <f>IF('СРОКИ'!DK10&lt;'СРОКИ'!$B$5,'CF_Аренда'!DK17,0)</f>
        <v/>
      </c>
      <c r="DL31" s="47">
        <f>IF('СРОКИ'!DL10&lt;'СРОКИ'!$B$5,'CF_Аренда'!DL17,0)</f>
        <v/>
      </c>
      <c r="DM31" s="47">
        <f>IF('СРОКИ'!DM10&lt;'СРОКИ'!$B$5,'CF_Аренда'!DM17,0)</f>
        <v/>
      </c>
    </row>
    <row r="32">
      <c r="A32" s="36" t="inlineStr">
        <is>
          <t>Выдача линии 2 (стройка)</t>
        </is>
      </c>
      <c r="B32" s="40">
        <f>SUM(D32:DM32)</f>
        <v/>
      </c>
      <c r="C32" s="37" t="inlineStr">
        <is>
          <t>млн ₽</t>
        </is>
      </c>
      <c r="D32" s="47">
        <f>IF('СРОКИ'!D10&gt;='СРОКИ'!$B$5,'CF_Аренда'!D17,0)</f>
        <v/>
      </c>
      <c r="E32" s="47">
        <f>IF('СРОКИ'!E10&gt;='СРОКИ'!$B$5,'CF_Аренда'!E17,0)</f>
        <v/>
      </c>
      <c r="F32" s="47">
        <f>IF('СРОКИ'!F10&gt;='СРОКИ'!$B$5,'CF_Аренда'!F17,0)</f>
        <v/>
      </c>
      <c r="G32" s="47">
        <f>IF('СРОКИ'!G10&gt;='СРОКИ'!$B$5,'CF_Аренда'!G17,0)</f>
        <v/>
      </c>
      <c r="H32" s="47">
        <f>IF('СРОКИ'!H10&gt;='СРОКИ'!$B$5,'CF_Аренда'!H17,0)</f>
        <v/>
      </c>
      <c r="I32" s="47">
        <f>IF('СРОКИ'!I10&gt;='СРОКИ'!$B$5,'CF_Аренда'!I17,0)</f>
        <v/>
      </c>
      <c r="J32" s="47">
        <f>IF('СРОКИ'!J10&gt;='СРОКИ'!$B$5,'CF_Аренда'!J17,0)</f>
        <v/>
      </c>
      <c r="K32" s="47">
        <f>IF('СРОКИ'!K10&gt;='СРОКИ'!$B$5,'CF_Аренда'!K17,0)</f>
        <v/>
      </c>
      <c r="L32" s="47">
        <f>IF('СРОКИ'!L10&gt;='СРОКИ'!$B$5,'CF_Аренда'!L17,0)</f>
        <v/>
      </c>
      <c r="M32" s="47">
        <f>IF('СРОКИ'!M10&gt;='СРОКИ'!$B$5,'CF_Аренда'!M17,0)</f>
        <v/>
      </c>
      <c r="N32" s="47">
        <f>IF('СРОКИ'!N10&gt;='СРОКИ'!$B$5,'CF_Аренда'!N17,0)</f>
        <v/>
      </c>
      <c r="O32" s="47">
        <f>IF('СРОКИ'!O10&gt;='СРОКИ'!$B$5,'CF_Аренда'!O17,0)</f>
        <v/>
      </c>
      <c r="P32" s="47">
        <f>IF('СРОКИ'!P10&gt;='СРОКИ'!$B$5,'CF_Аренда'!P17,0)</f>
        <v/>
      </c>
      <c r="Q32" s="47">
        <f>IF('СРОКИ'!Q10&gt;='СРОКИ'!$B$5,'CF_Аренда'!Q17,0)</f>
        <v/>
      </c>
      <c r="R32" s="47">
        <f>IF('СРОКИ'!R10&gt;='СРОКИ'!$B$5,'CF_Аренда'!R17,0)</f>
        <v/>
      </c>
      <c r="S32" s="47">
        <f>IF('СРОКИ'!S10&gt;='СРОКИ'!$B$5,'CF_Аренда'!S17,0)</f>
        <v/>
      </c>
      <c r="T32" s="47">
        <f>IF('СРОКИ'!T10&gt;='СРОКИ'!$B$5,'CF_Аренда'!T17,0)</f>
        <v/>
      </c>
      <c r="U32" s="47">
        <f>IF('СРОКИ'!U10&gt;='СРОКИ'!$B$5,'CF_Аренда'!U17,0)</f>
        <v/>
      </c>
      <c r="V32" s="47">
        <f>IF('СРОКИ'!V10&gt;='СРОКИ'!$B$5,'CF_Аренда'!V17,0)</f>
        <v/>
      </c>
      <c r="W32" s="47">
        <f>IF('СРОКИ'!W10&gt;='СРОКИ'!$B$5,'CF_Аренда'!W17,0)</f>
        <v/>
      </c>
      <c r="X32" s="47">
        <f>IF('СРОКИ'!X10&gt;='СРОКИ'!$B$5,'CF_Аренда'!X17,0)</f>
        <v/>
      </c>
      <c r="Y32" s="47">
        <f>IF('СРОКИ'!Y10&gt;='СРОКИ'!$B$5,'CF_Аренда'!Y17,0)</f>
        <v/>
      </c>
      <c r="Z32" s="47">
        <f>IF('СРОКИ'!Z10&gt;='СРОКИ'!$B$5,'CF_Аренда'!Z17,0)</f>
        <v/>
      </c>
      <c r="AA32" s="47">
        <f>IF('СРОКИ'!AA10&gt;='СРОКИ'!$B$5,'CF_Аренда'!AA17,0)</f>
        <v/>
      </c>
      <c r="AB32" s="47">
        <f>IF('СРОКИ'!AB10&gt;='СРОКИ'!$B$5,'CF_Аренда'!AB17,0)</f>
        <v/>
      </c>
      <c r="AC32" s="47">
        <f>IF('СРОКИ'!AC10&gt;='СРОКИ'!$B$5,'CF_Аренда'!AC17,0)</f>
        <v/>
      </c>
      <c r="AD32" s="47">
        <f>IF('СРОКИ'!AD10&gt;='СРОКИ'!$B$5,'CF_Аренда'!AD17,0)</f>
        <v/>
      </c>
      <c r="AE32" s="47">
        <f>IF('СРОКИ'!AE10&gt;='СРОКИ'!$B$5,'CF_Аренда'!AE17,0)</f>
        <v/>
      </c>
      <c r="AF32" s="47">
        <f>IF('СРОКИ'!AF10&gt;='СРОКИ'!$B$5,'CF_Аренда'!AF17,0)</f>
        <v/>
      </c>
      <c r="AG32" s="47">
        <f>IF('СРОКИ'!AG10&gt;='СРОКИ'!$B$5,'CF_Аренда'!AG17,0)</f>
        <v/>
      </c>
      <c r="AH32" s="47">
        <f>IF('СРОКИ'!AH10&gt;='СРОКИ'!$B$5,'CF_Аренда'!AH17,0)</f>
        <v/>
      </c>
      <c r="AI32" s="47">
        <f>IF('СРОКИ'!AI10&gt;='СРОКИ'!$B$5,'CF_Аренда'!AI17,0)</f>
        <v/>
      </c>
      <c r="AJ32" s="47">
        <f>IF('СРОКИ'!AJ10&gt;='СРОКИ'!$B$5,'CF_Аренда'!AJ17,0)</f>
        <v/>
      </c>
      <c r="AK32" s="47">
        <f>IF('СРОКИ'!AK10&gt;='СРОКИ'!$B$5,'CF_Аренда'!AK17,0)</f>
        <v/>
      </c>
      <c r="AL32" s="47">
        <f>IF('СРОКИ'!AL10&gt;='СРОКИ'!$B$5,'CF_Аренда'!AL17,0)</f>
        <v/>
      </c>
      <c r="AM32" s="47">
        <f>IF('СРОКИ'!AM10&gt;='СРОКИ'!$B$5,'CF_Аренда'!AM17,0)</f>
        <v/>
      </c>
      <c r="AN32" s="47">
        <f>IF('СРОКИ'!AN10&gt;='СРОКИ'!$B$5,'CF_Аренда'!AN17,0)</f>
        <v/>
      </c>
      <c r="AO32" s="47">
        <f>IF('СРОКИ'!AO10&gt;='СРОКИ'!$B$5,'CF_Аренда'!AO17,0)</f>
        <v/>
      </c>
      <c r="AP32" s="47">
        <f>IF('СРОКИ'!AP10&gt;='СРОКИ'!$B$5,'CF_Аренда'!AP17,0)</f>
        <v/>
      </c>
      <c r="AQ32" s="47">
        <f>IF('СРОКИ'!AQ10&gt;='СРОКИ'!$B$5,'CF_Аренда'!AQ17,0)</f>
        <v/>
      </c>
      <c r="AR32" s="47">
        <f>IF('СРОКИ'!AR10&gt;='СРОКИ'!$B$5,'CF_Аренда'!AR17,0)</f>
        <v/>
      </c>
      <c r="AS32" s="47">
        <f>IF('СРОКИ'!AS10&gt;='СРОКИ'!$B$5,'CF_Аренда'!AS17,0)</f>
        <v/>
      </c>
      <c r="AT32" s="47">
        <f>IF('СРОКИ'!AT10&gt;='СРОКИ'!$B$5,'CF_Аренда'!AT17,0)</f>
        <v/>
      </c>
      <c r="AU32" s="47">
        <f>IF('СРОКИ'!AU10&gt;='СРОКИ'!$B$5,'CF_Аренда'!AU17,0)</f>
        <v/>
      </c>
      <c r="AV32" s="47">
        <f>IF('СРОКИ'!AV10&gt;='СРОКИ'!$B$5,'CF_Аренда'!AV17,0)</f>
        <v/>
      </c>
      <c r="AW32" s="47">
        <f>IF('СРОКИ'!AW10&gt;='СРОКИ'!$B$5,'CF_Аренда'!AW17,0)</f>
        <v/>
      </c>
      <c r="AX32" s="47">
        <f>IF('СРОКИ'!AX10&gt;='СРОКИ'!$B$5,'CF_Аренда'!AX17,0)</f>
        <v/>
      </c>
      <c r="AY32" s="47">
        <f>IF('СРОКИ'!AY10&gt;='СРОКИ'!$B$5,'CF_Аренда'!AY17,0)</f>
        <v/>
      </c>
      <c r="AZ32" s="47">
        <f>IF('СРОКИ'!AZ10&gt;='СРОКИ'!$B$5,'CF_Аренда'!AZ17,0)</f>
        <v/>
      </c>
      <c r="BA32" s="47">
        <f>IF('СРОКИ'!BA10&gt;='СРОКИ'!$B$5,'CF_Аренда'!BA17,0)</f>
        <v/>
      </c>
      <c r="BB32" s="47">
        <f>IF('СРОКИ'!BB10&gt;='СРОКИ'!$B$5,'CF_Аренда'!BB17,0)</f>
        <v/>
      </c>
      <c r="BC32" s="47">
        <f>IF('СРОКИ'!BC10&gt;='СРОКИ'!$B$5,'CF_Аренда'!BC17,0)</f>
        <v/>
      </c>
      <c r="BD32" s="47">
        <f>IF('СРОКИ'!BD10&gt;='СРОКИ'!$B$5,'CF_Аренда'!BD17,0)</f>
        <v/>
      </c>
      <c r="BE32" s="47">
        <f>IF('СРОКИ'!BE10&gt;='СРОКИ'!$B$5,'CF_Аренда'!BE17,0)</f>
        <v/>
      </c>
      <c r="BF32" s="47">
        <f>IF('СРОКИ'!BF10&gt;='СРОКИ'!$B$5,'CF_Аренда'!BF17,0)</f>
        <v/>
      </c>
      <c r="BG32" s="47">
        <f>IF('СРОКИ'!BG10&gt;='СРОКИ'!$B$5,'CF_Аренда'!BG17,0)</f>
        <v/>
      </c>
      <c r="BH32" s="47">
        <f>IF('СРОКИ'!BH10&gt;='СРОКИ'!$B$5,'CF_Аренда'!BH17,0)</f>
        <v/>
      </c>
      <c r="BI32" s="47">
        <f>IF('СРОКИ'!BI10&gt;='СРОКИ'!$B$5,'CF_Аренда'!BI17,0)</f>
        <v/>
      </c>
      <c r="BJ32" s="47">
        <f>IF('СРОКИ'!BJ10&gt;='СРОКИ'!$B$5,'CF_Аренда'!BJ17,0)</f>
        <v/>
      </c>
      <c r="BK32" s="47">
        <f>IF('СРОКИ'!BK10&gt;='СРОКИ'!$B$5,'CF_Аренда'!BK17,0)</f>
        <v/>
      </c>
      <c r="BL32" s="47">
        <f>IF('СРОКИ'!BL10&gt;='СРОКИ'!$B$5,'CF_Аренда'!BL17,0)</f>
        <v/>
      </c>
      <c r="BM32" s="47">
        <f>IF('СРОКИ'!BM10&gt;='СРОКИ'!$B$5,'CF_Аренда'!BM17,0)</f>
        <v/>
      </c>
      <c r="BN32" s="47">
        <f>IF('СРОКИ'!BN10&gt;='СРОКИ'!$B$5,'CF_Аренда'!BN17,0)</f>
        <v/>
      </c>
      <c r="BO32" s="47">
        <f>IF('СРОКИ'!BO10&gt;='СРОКИ'!$B$5,'CF_Аренда'!BO17,0)</f>
        <v/>
      </c>
      <c r="BP32" s="47">
        <f>IF('СРОКИ'!BP10&gt;='СРОКИ'!$B$5,'CF_Аренда'!BP17,0)</f>
        <v/>
      </c>
      <c r="BQ32" s="47">
        <f>IF('СРОКИ'!BQ10&gt;='СРОКИ'!$B$5,'CF_Аренда'!BQ17,0)</f>
        <v/>
      </c>
      <c r="BR32" s="47">
        <f>IF('СРОКИ'!BR10&gt;='СРОКИ'!$B$5,'CF_Аренда'!BR17,0)</f>
        <v/>
      </c>
      <c r="BS32" s="47">
        <f>IF('СРОКИ'!BS10&gt;='СРОКИ'!$B$5,'CF_Аренда'!BS17,0)</f>
        <v/>
      </c>
      <c r="BT32" s="47">
        <f>IF('СРОКИ'!BT10&gt;='СРОКИ'!$B$5,'CF_Аренда'!BT17,0)</f>
        <v/>
      </c>
      <c r="BU32" s="47">
        <f>IF('СРОКИ'!BU10&gt;='СРОКИ'!$B$5,'CF_Аренда'!BU17,0)</f>
        <v/>
      </c>
      <c r="BV32" s="47">
        <f>IF('СРОКИ'!BV10&gt;='СРОКИ'!$B$5,'CF_Аренда'!BV17,0)</f>
        <v/>
      </c>
      <c r="BW32" s="47">
        <f>IF('СРОКИ'!BW10&gt;='СРОКИ'!$B$5,'CF_Аренда'!BW17,0)</f>
        <v/>
      </c>
      <c r="BX32" s="47">
        <f>IF('СРОКИ'!BX10&gt;='СРОКИ'!$B$5,'CF_Аренда'!BX17,0)</f>
        <v/>
      </c>
      <c r="BY32" s="47">
        <f>IF('СРОКИ'!BY10&gt;='СРОКИ'!$B$5,'CF_Аренда'!BY17,0)</f>
        <v/>
      </c>
      <c r="BZ32" s="47">
        <f>IF('СРОКИ'!BZ10&gt;='СРОКИ'!$B$5,'CF_Аренда'!BZ17,0)</f>
        <v/>
      </c>
      <c r="CA32" s="47">
        <f>IF('СРОКИ'!CA10&gt;='СРОКИ'!$B$5,'CF_Аренда'!CA17,0)</f>
        <v/>
      </c>
      <c r="CB32" s="47">
        <f>IF('СРОКИ'!CB10&gt;='СРОКИ'!$B$5,'CF_Аренда'!CB17,0)</f>
        <v/>
      </c>
      <c r="CC32" s="47">
        <f>IF('СРОКИ'!CC10&gt;='СРОКИ'!$B$5,'CF_Аренда'!CC17,0)</f>
        <v/>
      </c>
      <c r="CD32" s="47">
        <f>IF('СРОКИ'!CD10&gt;='СРОКИ'!$B$5,'CF_Аренда'!CD17,0)</f>
        <v/>
      </c>
      <c r="CE32" s="47">
        <f>IF('СРОКИ'!CE10&gt;='СРОКИ'!$B$5,'CF_Аренда'!CE17,0)</f>
        <v/>
      </c>
      <c r="CF32" s="47">
        <f>IF('СРОКИ'!CF10&gt;='СРОКИ'!$B$5,'CF_Аренда'!CF17,0)</f>
        <v/>
      </c>
      <c r="CG32" s="47">
        <f>IF('СРОКИ'!CG10&gt;='СРОКИ'!$B$5,'CF_Аренда'!CG17,0)</f>
        <v/>
      </c>
      <c r="CH32" s="47">
        <f>IF('СРОКИ'!CH10&gt;='СРОКИ'!$B$5,'CF_Аренда'!CH17,0)</f>
        <v/>
      </c>
      <c r="CI32" s="47">
        <f>IF('СРОКИ'!CI10&gt;='СРОКИ'!$B$5,'CF_Аренда'!CI17,0)</f>
        <v/>
      </c>
      <c r="CJ32" s="47">
        <f>IF('СРОКИ'!CJ10&gt;='СРОКИ'!$B$5,'CF_Аренда'!CJ17,0)</f>
        <v/>
      </c>
      <c r="CK32" s="47">
        <f>IF('СРОКИ'!CK10&gt;='СРОКИ'!$B$5,'CF_Аренда'!CK17,0)</f>
        <v/>
      </c>
      <c r="CL32" s="47">
        <f>IF('СРОКИ'!CL10&gt;='СРОКИ'!$B$5,'CF_Аренда'!CL17,0)</f>
        <v/>
      </c>
      <c r="CM32" s="47">
        <f>IF('СРОКИ'!CM10&gt;='СРОКИ'!$B$5,'CF_Аренда'!CM17,0)</f>
        <v/>
      </c>
      <c r="CN32" s="47">
        <f>IF('СРОКИ'!CN10&gt;='СРОКИ'!$B$5,'CF_Аренда'!CN17,0)</f>
        <v/>
      </c>
      <c r="CO32" s="47">
        <f>IF('СРОКИ'!CO10&gt;='СРОКИ'!$B$5,'CF_Аренда'!CO17,0)</f>
        <v/>
      </c>
      <c r="CP32" s="47">
        <f>IF('СРОКИ'!CP10&gt;='СРОКИ'!$B$5,'CF_Аренда'!CP17,0)</f>
        <v/>
      </c>
      <c r="CQ32" s="47">
        <f>IF('СРОКИ'!CQ10&gt;='СРОКИ'!$B$5,'CF_Аренда'!CQ17,0)</f>
        <v/>
      </c>
      <c r="CR32" s="47">
        <f>IF('СРОКИ'!CR10&gt;='СРОКИ'!$B$5,'CF_Аренда'!CR17,0)</f>
        <v/>
      </c>
      <c r="CS32" s="47">
        <f>IF('СРОКИ'!CS10&gt;='СРОКИ'!$B$5,'CF_Аренда'!CS17,0)</f>
        <v/>
      </c>
      <c r="CT32" s="47">
        <f>IF('СРОКИ'!CT10&gt;='СРОКИ'!$B$5,'CF_Аренда'!CT17,0)</f>
        <v/>
      </c>
      <c r="CU32" s="47">
        <f>IF('СРОКИ'!CU10&gt;='СРОКИ'!$B$5,'CF_Аренда'!CU17,0)</f>
        <v/>
      </c>
      <c r="CV32" s="47">
        <f>IF('СРОКИ'!CV10&gt;='СРОКИ'!$B$5,'CF_Аренда'!CV17,0)</f>
        <v/>
      </c>
      <c r="CW32" s="47">
        <f>IF('СРОКИ'!CW10&gt;='СРОКИ'!$B$5,'CF_Аренда'!CW17,0)</f>
        <v/>
      </c>
      <c r="CX32" s="47">
        <f>IF('СРОКИ'!CX10&gt;='СРОКИ'!$B$5,'CF_Аренда'!CX17,0)</f>
        <v/>
      </c>
      <c r="CY32" s="47">
        <f>IF('СРОКИ'!CY10&gt;='СРОКИ'!$B$5,'CF_Аренда'!CY17,0)</f>
        <v/>
      </c>
      <c r="CZ32" s="47">
        <f>IF('СРОКИ'!CZ10&gt;='СРОКИ'!$B$5,'CF_Аренда'!CZ17,0)</f>
        <v/>
      </c>
      <c r="DA32" s="47">
        <f>IF('СРОКИ'!DA10&gt;='СРОКИ'!$B$5,'CF_Аренда'!DA17,0)</f>
        <v/>
      </c>
      <c r="DB32" s="47">
        <f>IF('СРОКИ'!DB10&gt;='СРОКИ'!$B$5,'CF_Аренда'!DB17,0)</f>
        <v/>
      </c>
      <c r="DC32" s="47">
        <f>IF('СРОКИ'!DC10&gt;='СРОКИ'!$B$5,'CF_Аренда'!DC17,0)</f>
        <v/>
      </c>
      <c r="DD32" s="47">
        <f>IF('СРОКИ'!DD10&gt;='СРОКИ'!$B$5,'CF_Аренда'!DD17,0)</f>
        <v/>
      </c>
      <c r="DE32" s="47">
        <f>IF('СРОКИ'!DE10&gt;='СРОКИ'!$B$5,'CF_Аренда'!DE17,0)</f>
        <v/>
      </c>
      <c r="DF32" s="47">
        <f>IF('СРОКИ'!DF10&gt;='СРОКИ'!$B$5,'CF_Аренда'!DF17,0)</f>
        <v/>
      </c>
      <c r="DG32" s="47">
        <f>IF('СРОКИ'!DG10&gt;='СРОКИ'!$B$5,'CF_Аренда'!DG17,0)</f>
        <v/>
      </c>
      <c r="DH32" s="47">
        <f>IF('СРОКИ'!DH10&gt;='СРОКИ'!$B$5,'CF_Аренда'!DH17,0)</f>
        <v/>
      </c>
      <c r="DI32" s="47">
        <f>IF('СРОКИ'!DI10&gt;='СРОКИ'!$B$5,'CF_Аренда'!DI17,0)</f>
        <v/>
      </c>
      <c r="DJ32" s="47">
        <f>IF('СРОКИ'!DJ10&gt;='СРОКИ'!$B$5,'CF_Аренда'!DJ17,0)</f>
        <v/>
      </c>
      <c r="DK32" s="47">
        <f>IF('СРОКИ'!DK10&gt;='СРОКИ'!$B$5,'CF_Аренда'!DK17,0)</f>
        <v/>
      </c>
      <c r="DL32" s="47">
        <f>IF('СРОКИ'!DL10&gt;='СРОКИ'!$B$5,'CF_Аренда'!DL17,0)</f>
        <v/>
      </c>
      <c r="DM32" s="47">
        <f>IF('СРОКИ'!DM10&gt;='СРОКИ'!$B$5,'CF_Аренда'!DM17,0)</f>
        <v/>
      </c>
    </row>
    <row r="33">
      <c r="A33" s="36" t="inlineStr">
        <is>
          <t>Выбрано линии 1 нарастающим</t>
        </is>
      </c>
      <c r="B33" s="10" t="n"/>
      <c r="C33" s="37" t="inlineStr">
        <is>
          <t>млн ₽</t>
        </is>
      </c>
      <c r="D33" s="47">
        <f>'CF_Аренда'!D31</f>
        <v/>
      </c>
      <c r="E33" s="47">
        <f>'CF_Аренда'!D33+'CF_Аренда'!E31</f>
        <v/>
      </c>
      <c r="F33" s="47">
        <f>'CF_Аренда'!E33+'CF_Аренда'!F31</f>
        <v/>
      </c>
      <c r="G33" s="47">
        <f>'CF_Аренда'!F33+'CF_Аренда'!G31</f>
        <v/>
      </c>
      <c r="H33" s="47">
        <f>'CF_Аренда'!G33+'CF_Аренда'!H31</f>
        <v/>
      </c>
      <c r="I33" s="47">
        <f>'CF_Аренда'!H33+'CF_Аренда'!I31</f>
        <v/>
      </c>
      <c r="J33" s="47">
        <f>'CF_Аренда'!I33+'CF_Аренда'!J31</f>
        <v/>
      </c>
      <c r="K33" s="47">
        <f>'CF_Аренда'!J33+'CF_Аренда'!K31</f>
        <v/>
      </c>
      <c r="L33" s="47">
        <f>'CF_Аренда'!K33+'CF_Аренда'!L31</f>
        <v/>
      </c>
      <c r="M33" s="47">
        <f>'CF_Аренда'!L33+'CF_Аренда'!M31</f>
        <v/>
      </c>
      <c r="N33" s="47">
        <f>'CF_Аренда'!M33+'CF_Аренда'!N31</f>
        <v/>
      </c>
      <c r="O33" s="47">
        <f>'CF_Аренда'!N33+'CF_Аренда'!O31</f>
        <v/>
      </c>
      <c r="P33" s="47">
        <f>'CF_Аренда'!O33+'CF_Аренда'!P31</f>
        <v/>
      </c>
      <c r="Q33" s="47">
        <f>'CF_Аренда'!P33+'CF_Аренда'!Q31</f>
        <v/>
      </c>
      <c r="R33" s="47">
        <f>'CF_Аренда'!Q33+'CF_Аренда'!R31</f>
        <v/>
      </c>
      <c r="S33" s="47">
        <f>'CF_Аренда'!R33+'CF_Аренда'!S31</f>
        <v/>
      </c>
      <c r="T33" s="47">
        <f>'CF_Аренда'!S33+'CF_Аренда'!T31</f>
        <v/>
      </c>
      <c r="U33" s="47">
        <f>'CF_Аренда'!T33+'CF_Аренда'!U31</f>
        <v/>
      </c>
      <c r="V33" s="47">
        <f>'CF_Аренда'!U33+'CF_Аренда'!V31</f>
        <v/>
      </c>
      <c r="W33" s="47">
        <f>'CF_Аренда'!V33+'CF_Аренда'!W31</f>
        <v/>
      </c>
      <c r="X33" s="47">
        <f>'CF_Аренда'!W33+'CF_Аренда'!X31</f>
        <v/>
      </c>
      <c r="Y33" s="47">
        <f>'CF_Аренда'!X33+'CF_Аренда'!Y31</f>
        <v/>
      </c>
      <c r="Z33" s="47">
        <f>'CF_Аренда'!Y33+'CF_Аренда'!Z31</f>
        <v/>
      </c>
      <c r="AA33" s="47">
        <f>'CF_Аренда'!Z33+'CF_Аренда'!AA31</f>
        <v/>
      </c>
      <c r="AB33" s="47">
        <f>'CF_Аренда'!AA33+'CF_Аренда'!AB31</f>
        <v/>
      </c>
      <c r="AC33" s="47">
        <f>'CF_Аренда'!AB33+'CF_Аренда'!AC31</f>
        <v/>
      </c>
      <c r="AD33" s="47">
        <f>'CF_Аренда'!AC33+'CF_Аренда'!AD31</f>
        <v/>
      </c>
      <c r="AE33" s="47">
        <f>'CF_Аренда'!AD33+'CF_Аренда'!AE31</f>
        <v/>
      </c>
      <c r="AF33" s="47">
        <f>'CF_Аренда'!AE33+'CF_Аренда'!AF31</f>
        <v/>
      </c>
      <c r="AG33" s="47">
        <f>'CF_Аренда'!AF33+'CF_Аренда'!AG31</f>
        <v/>
      </c>
      <c r="AH33" s="47">
        <f>'CF_Аренда'!AG33+'CF_Аренда'!AH31</f>
        <v/>
      </c>
      <c r="AI33" s="47">
        <f>'CF_Аренда'!AH33+'CF_Аренда'!AI31</f>
        <v/>
      </c>
      <c r="AJ33" s="47">
        <f>'CF_Аренда'!AI33+'CF_Аренда'!AJ31</f>
        <v/>
      </c>
      <c r="AK33" s="47">
        <f>'CF_Аренда'!AJ33+'CF_Аренда'!AK31</f>
        <v/>
      </c>
      <c r="AL33" s="47">
        <f>'CF_Аренда'!AK33+'CF_Аренда'!AL31</f>
        <v/>
      </c>
      <c r="AM33" s="47">
        <f>'CF_Аренда'!AL33+'CF_Аренда'!AM31</f>
        <v/>
      </c>
      <c r="AN33" s="47">
        <f>'CF_Аренда'!AM33+'CF_Аренда'!AN31</f>
        <v/>
      </c>
      <c r="AO33" s="47">
        <f>'CF_Аренда'!AN33+'CF_Аренда'!AO31</f>
        <v/>
      </c>
      <c r="AP33" s="47">
        <f>'CF_Аренда'!AO33+'CF_Аренда'!AP31</f>
        <v/>
      </c>
      <c r="AQ33" s="47">
        <f>'CF_Аренда'!AP33+'CF_Аренда'!AQ31</f>
        <v/>
      </c>
      <c r="AR33" s="47">
        <f>'CF_Аренда'!AQ33+'CF_Аренда'!AR31</f>
        <v/>
      </c>
      <c r="AS33" s="47">
        <f>'CF_Аренда'!AR33+'CF_Аренда'!AS31</f>
        <v/>
      </c>
      <c r="AT33" s="47">
        <f>'CF_Аренда'!AS33+'CF_Аренда'!AT31</f>
        <v/>
      </c>
      <c r="AU33" s="47">
        <f>'CF_Аренда'!AT33+'CF_Аренда'!AU31</f>
        <v/>
      </c>
      <c r="AV33" s="47">
        <f>'CF_Аренда'!AU33+'CF_Аренда'!AV31</f>
        <v/>
      </c>
      <c r="AW33" s="47">
        <f>'CF_Аренда'!AV33+'CF_Аренда'!AW31</f>
        <v/>
      </c>
      <c r="AX33" s="47">
        <f>'CF_Аренда'!AW33+'CF_Аренда'!AX31</f>
        <v/>
      </c>
      <c r="AY33" s="47">
        <f>'CF_Аренда'!AX33+'CF_Аренда'!AY31</f>
        <v/>
      </c>
      <c r="AZ33" s="47">
        <f>'CF_Аренда'!AY33+'CF_Аренда'!AZ31</f>
        <v/>
      </c>
      <c r="BA33" s="47">
        <f>'CF_Аренда'!AZ33+'CF_Аренда'!BA31</f>
        <v/>
      </c>
      <c r="BB33" s="47">
        <f>'CF_Аренда'!BA33+'CF_Аренда'!BB31</f>
        <v/>
      </c>
      <c r="BC33" s="47">
        <f>'CF_Аренда'!BB33+'CF_Аренда'!BC31</f>
        <v/>
      </c>
      <c r="BD33" s="47">
        <f>'CF_Аренда'!BC33+'CF_Аренда'!BD31</f>
        <v/>
      </c>
      <c r="BE33" s="47">
        <f>'CF_Аренда'!BD33+'CF_Аренда'!BE31</f>
        <v/>
      </c>
      <c r="BF33" s="47">
        <f>'CF_Аренда'!BE33+'CF_Аренда'!BF31</f>
        <v/>
      </c>
      <c r="BG33" s="47">
        <f>'CF_Аренда'!BF33+'CF_Аренда'!BG31</f>
        <v/>
      </c>
      <c r="BH33" s="47">
        <f>'CF_Аренда'!BG33+'CF_Аренда'!BH31</f>
        <v/>
      </c>
      <c r="BI33" s="47">
        <f>'CF_Аренда'!BH33+'CF_Аренда'!BI31</f>
        <v/>
      </c>
      <c r="BJ33" s="47">
        <f>'CF_Аренда'!BI33+'CF_Аренда'!BJ31</f>
        <v/>
      </c>
      <c r="BK33" s="47">
        <f>'CF_Аренда'!BJ33+'CF_Аренда'!BK31</f>
        <v/>
      </c>
      <c r="BL33" s="47">
        <f>'CF_Аренда'!BK33+'CF_Аренда'!BL31</f>
        <v/>
      </c>
      <c r="BM33" s="47">
        <f>'CF_Аренда'!BL33+'CF_Аренда'!BM31</f>
        <v/>
      </c>
      <c r="BN33" s="47">
        <f>'CF_Аренда'!BM33+'CF_Аренда'!BN31</f>
        <v/>
      </c>
      <c r="BO33" s="47">
        <f>'CF_Аренда'!BN33+'CF_Аренда'!BO31</f>
        <v/>
      </c>
      <c r="BP33" s="47">
        <f>'CF_Аренда'!BO33+'CF_Аренда'!BP31</f>
        <v/>
      </c>
      <c r="BQ33" s="47">
        <f>'CF_Аренда'!BP33+'CF_Аренда'!BQ31</f>
        <v/>
      </c>
      <c r="BR33" s="47">
        <f>'CF_Аренда'!BQ33+'CF_Аренда'!BR31</f>
        <v/>
      </c>
      <c r="BS33" s="47">
        <f>'CF_Аренда'!BR33+'CF_Аренда'!BS31</f>
        <v/>
      </c>
      <c r="BT33" s="47">
        <f>'CF_Аренда'!BS33+'CF_Аренда'!BT31</f>
        <v/>
      </c>
      <c r="BU33" s="47">
        <f>'CF_Аренда'!BT33+'CF_Аренда'!BU31</f>
        <v/>
      </c>
      <c r="BV33" s="47">
        <f>'CF_Аренда'!BU33+'CF_Аренда'!BV31</f>
        <v/>
      </c>
      <c r="BW33" s="47">
        <f>'CF_Аренда'!BV33+'CF_Аренда'!BW31</f>
        <v/>
      </c>
      <c r="BX33" s="47">
        <f>'CF_Аренда'!BW33+'CF_Аренда'!BX31</f>
        <v/>
      </c>
      <c r="BY33" s="47">
        <f>'CF_Аренда'!BX33+'CF_Аренда'!BY31</f>
        <v/>
      </c>
      <c r="BZ33" s="47">
        <f>'CF_Аренда'!BY33+'CF_Аренда'!BZ31</f>
        <v/>
      </c>
      <c r="CA33" s="47">
        <f>'CF_Аренда'!BZ33+'CF_Аренда'!CA31</f>
        <v/>
      </c>
      <c r="CB33" s="47">
        <f>'CF_Аренда'!CA33+'CF_Аренда'!CB31</f>
        <v/>
      </c>
      <c r="CC33" s="47">
        <f>'CF_Аренда'!CB33+'CF_Аренда'!CC31</f>
        <v/>
      </c>
      <c r="CD33" s="47">
        <f>'CF_Аренда'!CC33+'CF_Аренда'!CD31</f>
        <v/>
      </c>
      <c r="CE33" s="47">
        <f>'CF_Аренда'!CD33+'CF_Аренда'!CE31</f>
        <v/>
      </c>
      <c r="CF33" s="47">
        <f>'CF_Аренда'!CE33+'CF_Аренда'!CF31</f>
        <v/>
      </c>
      <c r="CG33" s="47">
        <f>'CF_Аренда'!CF33+'CF_Аренда'!CG31</f>
        <v/>
      </c>
      <c r="CH33" s="47">
        <f>'CF_Аренда'!CG33+'CF_Аренда'!CH31</f>
        <v/>
      </c>
      <c r="CI33" s="47">
        <f>'CF_Аренда'!CH33+'CF_Аренда'!CI31</f>
        <v/>
      </c>
      <c r="CJ33" s="47">
        <f>'CF_Аренда'!CI33+'CF_Аренда'!CJ31</f>
        <v/>
      </c>
      <c r="CK33" s="47">
        <f>'CF_Аренда'!CJ33+'CF_Аренда'!CK31</f>
        <v/>
      </c>
      <c r="CL33" s="47">
        <f>'CF_Аренда'!CK33+'CF_Аренда'!CL31</f>
        <v/>
      </c>
      <c r="CM33" s="47">
        <f>'CF_Аренда'!CL33+'CF_Аренда'!CM31</f>
        <v/>
      </c>
      <c r="CN33" s="47">
        <f>'CF_Аренда'!CM33+'CF_Аренда'!CN31</f>
        <v/>
      </c>
      <c r="CO33" s="47">
        <f>'CF_Аренда'!CN33+'CF_Аренда'!CO31</f>
        <v/>
      </c>
      <c r="CP33" s="47">
        <f>'CF_Аренда'!CO33+'CF_Аренда'!CP31</f>
        <v/>
      </c>
      <c r="CQ33" s="47">
        <f>'CF_Аренда'!CP33+'CF_Аренда'!CQ31</f>
        <v/>
      </c>
      <c r="CR33" s="47">
        <f>'CF_Аренда'!CQ33+'CF_Аренда'!CR31</f>
        <v/>
      </c>
      <c r="CS33" s="47">
        <f>'CF_Аренда'!CR33+'CF_Аренда'!CS31</f>
        <v/>
      </c>
      <c r="CT33" s="47">
        <f>'CF_Аренда'!CS33+'CF_Аренда'!CT31</f>
        <v/>
      </c>
      <c r="CU33" s="47">
        <f>'CF_Аренда'!CT33+'CF_Аренда'!CU31</f>
        <v/>
      </c>
      <c r="CV33" s="47">
        <f>'CF_Аренда'!CU33+'CF_Аренда'!CV31</f>
        <v/>
      </c>
      <c r="CW33" s="47">
        <f>'CF_Аренда'!CV33+'CF_Аренда'!CW31</f>
        <v/>
      </c>
      <c r="CX33" s="47">
        <f>'CF_Аренда'!CW33+'CF_Аренда'!CX31</f>
        <v/>
      </c>
      <c r="CY33" s="47">
        <f>'CF_Аренда'!CX33+'CF_Аренда'!CY31</f>
        <v/>
      </c>
      <c r="CZ33" s="47">
        <f>'CF_Аренда'!CY33+'CF_Аренда'!CZ31</f>
        <v/>
      </c>
      <c r="DA33" s="47">
        <f>'CF_Аренда'!CZ33+'CF_Аренда'!DA31</f>
        <v/>
      </c>
      <c r="DB33" s="47">
        <f>'CF_Аренда'!DA33+'CF_Аренда'!DB31</f>
        <v/>
      </c>
      <c r="DC33" s="47">
        <f>'CF_Аренда'!DB33+'CF_Аренда'!DC31</f>
        <v/>
      </c>
      <c r="DD33" s="47">
        <f>'CF_Аренда'!DC33+'CF_Аренда'!DD31</f>
        <v/>
      </c>
      <c r="DE33" s="47">
        <f>'CF_Аренда'!DD33+'CF_Аренда'!DE31</f>
        <v/>
      </c>
      <c r="DF33" s="47">
        <f>'CF_Аренда'!DE33+'CF_Аренда'!DF31</f>
        <v/>
      </c>
      <c r="DG33" s="47">
        <f>'CF_Аренда'!DF33+'CF_Аренда'!DG31</f>
        <v/>
      </c>
      <c r="DH33" s="47">
        <f>'CF_Аренда'!DG33+'CF_Аренда'!DH31</f>
        <v/>
      </c>
      <c r="DI33" s="47">
        <f>'CF_Аренда'!DH33+'CF_Аренда'!DI31</f>
        <v/>
      </c>
      <c r="DJ33" s="47">
        <f>'CF_Аренда'!DI33+'CF_Аренда'!DJ31</f>
        <v/>
      </c>
      <c r="DK33" s="47">
        <f>'CF_Аренда'!DJ33+'CF_Аренда'!DK31</f>
        <v/>
      </c>
      <c r="DL33" s="47">
        <f>'CF_Аренда'!DK33+'CF_Аренда'!DL31</f>
        <v/>
      </c>
      <c r="DM33" s="47">
        <f>'CF_Аренда'!DL33+'CF_Аренда'!DM31</f>
        <v/>
      </c>
    </row>
    <row r="34">
      <c r="A34" s="36" t="inlineStr">
        <is>
          <t>Выбрано линии 2 нарастающим</t>
        </is>
      </c>
      <c r="B34" s="10" t="n"/>
      <c r="C34" s="37" t="inlineStr">
        <is>
          <t>млн ₽</t>
        </is>
      </c>
      <c r="D34" s="47">
        <f>'CF_Аренда'!D32</f>
        <v/>
      </c>
      <c r="E34" s="47">
        <f>'CF_Аренда'!D34+'CF_Аренда'!E32</f>
        <v/>
      </c>
      <c r="F34" s="47">
        <f>'CF_Аренда'!E34+'CF_Аренда'!F32</f>
        <v/>
      </c>
      <c r="G34" s="47">
        <f>'CF_Аренда'!F34+'CF_Аренда'!G32</f>
        <v/>
      </c>
      <c r="H34" s="47">
        <f>'CF_Аренда'!G34+'CF_Аренда'!H32</f>
        <v/>
      </c>
      <c r="I34" s="47">
        <f>'CF_Аренда'!H34+'CF_Аренда'!I32</f>
        <v/>
      </c>
      <c r="J34" s="47">
        <f>'CF_Аренда'!I34+'CF_Аренда'!J32</f>
        <v/>
      </c>
      <c r="K34" s="47">
        <f>'CF_Аренда'!J34+'CF_Аренда'!K32</f>
        <v/>
      </c>
      <c r="L34" s="47">
        <f>'CF_Аренда'!K34+'CF_Аренда'!L32</f>
        <v/>
      </c>
      <c r="M34" s="47">
        <f>'CF_Аренда'!L34+'CF_Аренда'!M32</f>
        <v/>
      </c>
      <c r="N34" s="47">
        <f>'CF_Аренда'!M34+'CF_Аренда'!N32</f>
        <v/>
      </c>
      <c r="O34" s="47">
        <f>'CF_Аренда'!N34+'CF_Аренда'!O32</f>
        <v/>
      </c>
      <c r="P34" s="47">
        <f>'CF_Аренда'!O34+'CF_Аренда'!P32</f>
        <v/>
      </c>
      <c r="Q34" s="47">
        <f>'CF_Аренда'!P34+'CF_Аренда'!Q32</f>
        <v/>
      </c>
      <c r="R34" s="47">
        <f>'CF_Аренда'!Q34+'CF_Аренда'!R32</f>
        <v/>
      </c>
      <c r="S34" s="47">
        <f>'CF_Аренда'!R34+'CF_Аренда'!S32</f>
        <v/>
      </c>
      <c r="T34" s="47">
        <f>'CF_Аренда'!S34+'CF_Аренда'!T32</f>
        <v/>
      </c>
      <c r="U34" s="47">
        <f>'CF_Аренда'!T34+'CF_Аренда'!U32</f>
        <v/>
      </c>
      <c r="V34" s="47">
        <f>'CF_Аренда'!U34+'CF_Аренда'!V32</f>
        <v/>
      </c>
      <c r="W34" s="47">
        <f>'CF_Аренда'!V34+'CF_Аренда'!W32</f>
        <v/>
      </c>
      <c r="X34" s="47">
        <f>'CF_Аренда'!W34+'CF_Аренда'!X32</f>
        <v/>
      </c>
      <c r="Y34" s="47">
        <f>'CF_Аренда'!X34+'CF_Аренда'!Y32</f>
        <v/>
      </c>
      <c r="Z34" s="47">
        <f>'CF_Аренда'!Y34+'CF_Аренда'!Z32</f>
        <v/>
      </c>
      <c r="AA34" s="47">
        <f>'CF_Аренда'!Z34+'CF_Аренда'!AA32</f>
        <v/>
      </c>
      <c r="AB34" s="47">
        <f>'CF_Аренда'!AA34+'CF_Аренда'!AB32</f>
        <v/>
      </c>
      <c r="AC34" s="47">
        <f>'CF_Аренда'!AB34+'CF_Аренда'!AC32</f>
        <v/>
      </c>
      <c r="AD34" s="47">
        <f>'CF_Аренда'!AC34+'CF_Аренда'!AD32</f>
        <v/>
      </c>
      <c r="AE34" s="47">
        <f>'CF_Аренда'!AD34+'CF_Аренда'!AE32</f>
        <v/>
      </c>
      <c r="AF34" s="47">
        <f>'CF_Аренда'!AE34+'CF_Аренда'!AF32</f>
        <v/>
      </c>
      <c r="AG34" s="47">
        <f>'CF_Аренда'!AF34+'CF_Аренда'!AG32</f>
        <v/>
      </c>
      <c r="AH34" s="47">
        <f>'CF_Аренда'!AG34+'CF_Аренда'!AH32</f>
        <v/>
      </c>
      <c r="AI34" s="47">
        <f>'CF_Аренда'!AH34+'CF_Аренда'!AI32</f>
        <v/>
      </c>
      <c r="AJ34" s="47">
        <f>'CF_Аренда'!AI34+'CF_Аренда'!AJ32</f>
        <v/>
      </c>
      <c r="AK34" s="47">
        <f>'CF_Аренда'!AJ34+'CF_Аренда'!AK32</f>
        <v/>
      </c>
      <c r="AL34" s="47">
        <f>'CF_Аренда'!AK34+'CF_Аренда'!AL32</f>
        <v/>
      </c>
      <c r="AM34" s="47">
        <f>'CF_Аренда'!AL34+'CF_Аренда'!AM32</f>
        <v/>
      </c>
      <c r="AN34" s="47">
        <f>'CF_Аренда'!AM34+'CF_Аренда'!AN32</f>
        <v/>
      </c>
      <c r="AO34" s="47">
        <f>'CF_Аренда'!AN34+'CF_Аренда'!AO32</f>
        <v/>
      </c>
      <c r="AP34" s="47">
        <f>'CF_Аренда'!AO34+'CF_Аренда'!AP32</f>
        <v/>
      </c>
      <c r="AQ34" s="47">
        <f>'CF_Аренда'!AP34+'CF_Аренда'!AQ32</f>
        <v/>
      </c>
      <c r="AR34" s="47">
        <f>'CF_Аренда'!AQ34+'CF_Аренда'!AR32</f>
        <v/>
      </c>
      <c r="AS34" s="47">
        <f>'CF_Аренда'!AR34+'CF_Аренда'!AS32</f>
        <v/>
      </c>
      <c r="AT34" s="47">
        <f>'CF_Аренда'!AS34+'CF_Аренда'!AT32</f>
        <v/>
      </c>
      <c r="AU34" s="47">
        <f>'CF_Аренда'!AT34+'CF_Аренда'!AU32</f>
        <v/>
      </c>
      <c r="AV34" s="47">
        <f>'CF_Аренда'!AU34+'CF_Аренда'!AV32</f>
        <v/>
      </c>
      <c r="AW34" s="47">
        <f>'CF_Аренда'!AV34+'CF_Аренда'!AW32</f>
        <v/>
      </c>
      <c r="AX34" s="47">
        <f>'CF_Аренда'!AW34+'CF_Аренда'!AX32</f>
        <v/>
      </c>
      <c r="AY34" s="47">
        <f>'CF_Аренда'!AX34+'CF_Аренда'!AY32</f>
        <v/>
      </c>
      <c r="AZ34" s="47">
        <f>'CF_Аренда'!AY34+'CF_Аренда'!AZ32</f>
        <v/>
      </c>
      <c r="BA34" s="47">
        <f>'CF_Аренда'!AZ34+'CF_Аренда'!BA32</f>
        <v/>
      </c>
      <c r="BB34" s="47">
        <f>'CF_Аренда'!BA34+'CF_Аренда'!BB32</f>
        <v/>
      </c>
      <c r="BC34" s="47">
        <f>'CF_Аренда'!BB34+'CF_Аренда'!BC32</f>
        <v/>
      </c>
      <c r="BD34" s="47">
        <f>'CF_Аренда'!BC34+'CF_Аренда'!BD32</f>
        <v/>
      </c>
      <c r="BE34" s="47">
        <f>'CF_Аренда'!BD34+'CF_Аренда'!BE32</f>
        <v/>
      </c>
      <c r="BF34" s="47">
        <f>'CF_Аренда'!BE34+'CF_Аренда'!BF32</f>
        <v/>
      </c>
      <c r="BG34" s="47">
        <f>'CF_Аренда'!BF34+'CF_Аренда'!BG32</f>
        <v/>
      </c>
      <c r="BH34" s="47">
        <f>'CF_Аренда'!BG34+'CF_Аренда'!BH32</f>
        <v/>
      </c>
      <c r="BI34" s="47">
        <f>'CF_Аренда'!BH34+'CF_Аренда'!BI32</f>
        <v/>
      </c>
      <c r="BJ34" s="47">
        <f>'CF_Аренда'!BI34+'CF_Аренда'!BJ32</f>
        <v/>
      </c>
      <c r="BK34" s="47">
        <f>'CF_Аренда'!BJ34+'CF_Аренда'!BK32</f>
        <v/>
      </c>
      <c r="BL34" s="47">
        <f>'CF_Аренда'!BK34+'CF_Аренда'!BL32</f>
        <v/>
      </c>
      <c r="BM34" s="47">
        <f>'CF_Аренда'!BL34+'CF_Аренда'!BM32</f>
        <v/>
      </c>
      <c r="BN34" s="47">
        <f>'CF_Аренда'!BM34+'CF_Аренда'!BN32</f>
        <v/>
      </c>
      <c r="BO34" s="47">
        <f>'CF_Аренда'!BN34+'CF_Аренда'!BO32</f>
        <v/>
      </c>
      <c r="BP34" s="47">
        <f>'CF_Аренда'!BO34+'CF_Аренда'!BP32</f>
        <v/>
      </c>
      <c r="BQ34" s="47">
        <f>'CF_Аренда'!BP34+'CF_Аренда'!BQ32</f>
        <v/>
      </c>
      <c r="BR34" s="47">
        <f>'CF_Аренда'!BQ34+'CF_Аренда'!BR32</f>
        <v/>
      </c>
      <c r="BS34" s="47">
        <f>'CF_Аренда'!BR34+'CF_Аренда'!BS32</f>
        <v/>
      </c>
      <c r="BT34" s="47">
        <f>'CF_Аренда'!BS34+'CF_Аренда'!BT32</f>
        <v/>
      </c>
      <c r="BU34" s="47">
        <f>'CF_Аренда'!BT34+'CF_Аренда'!BU32</f>
        <v/>
      </c>
      <c r="BV34" s="47">
        <f>'CF_Аренда'!BU34+'CF_Аренда'!BV32</f>
        <v/>
      </c>
      <c r="BW34" s="47">
        <f>'CF_Аренда'!BV34+'CF_Аренда'!BW32</f>
        <v/>
      </c>
      <c r="BX34" s="47">
        <f>'CF_Аренда'!BW34+'CF_Аренда'!BX32</f>
        <v/>
      </c>
      <c r="BY34" s="47">
        <f>'CF_Аренда'!BX34+'CF_Аренда'!BY32</f>
        <v/>
      </c>
      <c r="BZ34" s="47">
        <f>'CF_Аренда'!BY34+'CF_Аренда'!BZ32</f>
        <v/>
      </c>
      <c r="CA34" s="47">
        <f>'CF_Аренда'!BZ34+'CF_Аренда'!CA32</f>
        <v/>
      </c>
      <c r="CB34" s="47">
        <f>'CF_Аренда'!CA34+'CF_Аренда'!CB32</f>
        <v/>
      </c>
      <c r="CC34" s="47">
        <f>'CF_Аренда'!CB34+'CF_Аренда'!CC32</f>
        <v/>
      </c>
      <c r="CD34" s="47">
        <f>'CF_Аренда'!CC34+'CF_Аренда'!CD32</f>
        <v/>
      </c>
      <c r="CE34" s="47">
        <f>'CF_Аренда'!CD34+'CF_Аренда'!CE32</f>
        <v/>
      </c>
      <c r="CF34" s="47">
        <f>'CF_Аренда'!CE34+'CF_Аренда'!CF32</f>
        <v/>
      </c>
      <c r="CG34" s="47">
        <f>'CF_Аренда'!CF34+'CF_Аренда'!CG32</f>
        <v/>
      </c>
      <c r="CH34" s="47">
        <f>'CF_Аренда'!CG34+'CF_Аренда'!CH32</f>
        <v/>
      </c>
      <c r="CI34" s="47">
        <f>'CF_Аренда'!CH34+'CF_Аренда'!CI32</f>
        <v/>
      </c>
      <c r="CJ34" s="47">
        <f>'CF_Аренда'!CI34+'CF_Аренда'!CJ32</f>
        <v/>
      </c>
      <c r="CK34" s="47">
        <f>'CF_Аренда'!CJ34+'CF_Аренда'!CK32</f>
        <v/>
      </c>
      <c r="CL34" s="47">
        <f>'CF_Аренда'!CK34+'CF_Аренда'!CL32</f>
        <v/>
      </c>
      <c r="CM34" s="47">
        <f>'CF_Аренда'!CL34+'CF_Аренда'!CM32</f>
        <v/>
      </c>
      <c r="CN34" s="47">
        <f>'CF_Аренда'!CM34+'CF_Аренда'!CN32</f>
        <v/>
      </c>
      <c r="CO34" s="47">
        <f>'CF_Аренда'!CN34+'CF_Аренда'!CO32</f>
        <v/>
      </c>
      <c r="CP34" s="47">
        <f>'CF_Аренда'!CO34+'CF_Аренда'!CP32</f>
        <v/>
      </c>
      <c r="CQ34" s="47">
        <f>'CF_Аренда'!CP34+'CF_Аренда'!CQ32</f>
        <v/>
      </c>
      <c r="CR34" s="47">
        <f>'CF_Аренда'!CQ34+'CF_Аренда'!CR32</f>
        <v/>
      </c>
      <c r="CS34" s="47">
        <f>'CF_Аренда'!CR34+'CF_Аренда'!CS32</f>
        <v/>
      </c>
      <c r="CT34" s="47">
        <f>'CF_Аренда'!CS34+'CF_Аренда'!CT32</f>
        <v/>
      </c>
      <c r="CU34" s="47">
        <f>'CF_Аренда'!CT34+'CF_Аренда'!CU32</f>
        <v/>
      </c>
      <c r="CV34" s="47">
        <f>'CF_Аренда'!CU34+'CF_Аренда'!CV32</f>
        <v/>
      </c>
      <c r="CW34" s="47">
        <f>'CF_Аренда'!CV34+'CF_Аренда'!CW32</f>
        <v/>
      </c>
      <c r="CX34" s="47">
        <f>'CF_Аренда'!CW34+'CF_Аренда'!CX32</f>
        <v/>
      </c>
      <c r="CY34" s="47">
        <f>'CF_Аренда'!CX34+'CF_Аренда'!CY32</f>
        <v/>
      </c>
      <c r="CZ34" s="47">
        <f>'CF_Аренда'!CY34+'CF_Аренда'!CZ32</f>
        <v/>
      </c>
      <c r="DA34" s="47">
        <f>'CF_Аренда'!CZ34+'CF_Аренда'!DA32</f>
        <v/>
      </c>
      <c r="DB34" s="47">
        <f>'CF_Аренда'!DA34+'CF_Аренда'!DB32</f>
        <v/>
      </c>
      <c r="DC34" s="47">
        <f>'CF_Аренда'!DB34+'CF_Аренда'!DC32</f>
        <v/>
      </c>
      <c r="DD34" s="47">
        <f>'CF_Аренда'!DC34+'CF_Аренда'!DD32</f>
        <v/>
      </c>
      <c r="DE34" s="47">
        <f>'CF_Аренда'!DD34+'CF_Аренда'!DE32</f>
        <v/>
      </c>
      <c r="DF34" s="47">
        <f>'CF_Аренда'!DE34+'CF_Аренда'!DF32</f>
        <v/>
      </c>
      <c r="DG34" s="47">
        <f>'CF_Аренда'!DF34+'CF_Аренда'!DG32</f>
        <v/>
      </c>
      <c r="DH34" s="47">
        <f>'CF_Аренда'!DG34+'CF_Аренда'!DH32</f>
        <v/>
      </c>
      <c r="DI34" s="47">
        <f>'CF_Аренда'!DH34+'CF_Аренда'!DI32</f>
        <v/>
      </c>
      <c r="DJ34" s="47">
        <f>'CF_Аренда'!DI34+'CF_Аренда'!DJ32</f>
        <v/>
      </c>
      <c r="DK34" s="47">
        <f>'CF_Аренда'!DJ34+'CF_Аренда'!DK32</f>
        <v/>
      </c>
      <c r="DL34" s="47">
        <f>'CF_Аренда'!DK34+'CF_Аренда'!DL32</f>
        <v/>
      </c>
      <c r="DM34" s="47">
        <f>'CF_Аренда'!DL34+'CF_Аренда'!DM32</f>
        <v/>
      </c>
    </row>
    <row r="35">
      <c r="A35" s="36" t="inlineStr">
        <is>
          <t>Комиссии банка</t>
        </is>
      </c>
      <c r="B35" s="40">
        <f>SUM(D35:DM35)</f>
        <v/>
      </c>
      <c r="C35" s="37" t="inlineStr">
        <is>
          <t>млн ₽</t>
        </is>
      </c>
      <c r="D35" s="47">
        <f>'CF_Аренда'!D17*'Вводные'!$B$57+IF('CF_Аренда'!D31&gt;0,'CF_Аренда'!$B$31*'Вводные'!$B$58+('CF_Аренда'!$B$31-'CF_Аренда'!D33)*'Вводные'!$B$59/12,0)</f>
        <v/>
      </c>
      <c r="E35" s="47">
        <f>'CF_Аренда'!E17*'Вводные'!$B$57+IF(AND('CF_Аренда'!E31&gt;0,'CF_Аренда'!D33=0),'CF_Аренда'!$B$31*'Вводные'!$B$58,0)+IF(AND('CF_Аренда'!E32&gt;0,'CF_Аренда'!D34=0),'CF_Аренда'!$B$32*'Вводные'!$B$58,0)+IF(AND('CF_Аренда'!E33&gt;0,'СРОКИ'!E10&lt;'СРОКИ'!$B$5),('CF_Аренда'!$B$31-'CF_Аренда'!E33)*'Вводные'!$B$59/12,0)+IF(AND('CF_Аренда'!E34&gt;0,'СРОКИ'!E10&lt;='СРОКИ'!$B$6),('CF_Аренда'!$B$32-'CF_Аренда'!E34)*'Вводные'!$B$59/12,0)</f>
        <v/>
      </c>
      <c r="F35" s="47">
        <f>'CF_Аренда'!F17*'Вводные'!$B$57+IF(AND('CF_Аренда'!F31&gt;0,'CF_Аренда'!E33=0),'CF_Аренда'!$B$31*'Вводные'!$B$58,0)+IF(AND('CF_Аренда'!F32&gt;0,'CF_Аренда'!E34=0),'CF_Аренда'!$B$32*'Вводные'!$B$58,0)+IF(AND('CF_Аренда'!F33&gt;0,'СРОКИ'!F10&lt;'СРОКИ'!$B$5),('CF_Аренда'!$B$31-'CF_Аренда'!F33)*'Вводные'!$B$59/12,0)+IF(AND('CF_Аренда'!F34&gt;0,'СРОКИ'!F10&lt;='СРОКИ'!$B$6),('CF_Аренда'!$B$32-'CF_Аренда'!F34)*'Вводные'!$B$59/12,0)</f>
        <v/>
      </c>
      <c r="G35" s="47">
        <f>'CF_Аренда'!G17*'Вводные'!$B$57+IF(AND('CF_Аренда'!G31&gt;0,'CF_Аренда'!F33=0),'CF_Аренда'!$B$31*'Вводные'!$B$58,0)+IF(AND('CF_Аренда'!G32&gt;0,'CF_Аренда'!F34=0),'CF_Аренда'!$B$32*'Вводные'!$B$58,0)+IF(AND('CF_Аренда'!G33&gt;0,'СРОКИ'!G10&lt;'СРОКИ'!$B$5),('CF_Аренда'!$B$31-'CF_Аренда'!G33)*'Вводные'!$B$59/12,0)+IF(AND('CF_Аренда'!G34&gt;0,'СРОКИ'!G10&lt;='СРОКИ'!$B$6),('CF_Аренда'!$B$32-'CF_Аренда'!G34)*'Вводные'!$B$59/12,0)</f>
        <v/>
      </c>
      <c r="H35" s="47">
        <f>'CF_Аренда'!H17*'Вводные'!$B$57+IF(AND('CF_Аренда'!H31&gt;0,'CF_Аренда'!G33=0),'CF_Аренда'!$B$31*'Вводные'!$B$58,0)+IF(AND('CF_Аренда'!H32&gt;0,'CF_Аренда'!G34=0),'CF_Аренда'!$B$32*'Вводные'!$B$58,0)+IF(AND('CF_Аренда'!H33&gt;0,'СРОКИ'!H10&lt;'СРОКИ'!$B$5),('CF_Аренда'!$B$31-'CF_Аренда'!H33)*'Вводные'!$B$59/12,0)+IF(AND('CF_Аренда'!H34&gt;0,'СРОКИ'!H10&lt;='СРОКИ'!$B$6),('CF_Аренда'!$B$32-'CF_Аренда'!H34)*'Вводные'!$B$59/12,0)</f>
        <v/>
      </c>
      <c r="I35" s="47">
        <f>'CF_Аренда'!I17*'Вводные'!$B$57+IF(AND('CF_Аренда'!I31&gt;0,'CF_Аренда'!H33=0),'CF_Аренда'!$B$31*'Вводные'!$B$58,0)+IF(AND('CF_Аренда'!I32&gt;0,'CF_Аренда'!H34=0),'CF_Аренда'!$B$32*'Вводные'!$B$58,0)+IF(AND('CF_Аренда'!I33&gt;0,'СРОКИ'!I10&lt;'СРОКИ'!$B$5),('CF_Аренда'!$B$31-'CF_Аренда'!I33)*'Вводные'!$B$59/12,0)+IF(AND('CF_Аренда'!I34&gt;0,'СРОКИ'!I10&lt;='СРОКИ'!$B$6),('CF_Аренда'!$B$32-'CF_Аренда'!I34)*'Вводные'!$B$59/12,0)</f>
        <v/>
      </c>
      <c r="J35" s="47">
        <f>'CF_Аренда'!J17*'Вводные'!$B$57+IF(AND('CF_Аренда'!J31&gt;0,'CF_Аренда'!I33=0),'CF_Аренда'!$B$31*'Вводные'!$B$58,0)+IF(AND('CF_Аренда'!J32&gt;0,'CF_Аренда'!I34=0),'CF_Аренда'!$B$32*'Вводные'!$B$58,0)+IF(AND('CF_Аренда'!J33&gt;0,'СРОКИ'!J10&lt;'СРОКИ'!$B$5),('CF_Аренда'!$B$31-'CF_Аренда'!J33)*'Вводные'!$B$59/12,0)+IF(AND('CF_Аренда'!J34&gt;0,'СРОКИ'!J10&lt;='СРОКИ'!$B$6),('CF_Аренда'!$B$32-'CF_Аренда'!J34)*'Вводные'!$B$59/12,0)</f>
        <v/>
      </c>
      <c r="K35" s="47">
        <f>'CF_Аренда'!K17*'Вводные'!$B$57+IF(AND('CF_Аренда'!K31&gt;0,'CF_Аренда'!J33=0),'CF_Аренда'!$B$31*'Вводные'!$B$58,0)+IF(AND('CF_Аренда'!K32&gt;0,'CF_Аренда'!J34=0),'CF_Аренда'!$B$32*'Вводные'!$B$58,0)+IF(AND('CF_Аренда'!K33&gt;0,'СРОКИ'!K10&lt;'СРОКИ'!$B$5),('CF_Аренда'!$B$31-'CF_Аренда'!K33)*'Вводные'!$B$59/12,0)+IF(AND('CF_Аренда'!K34&gt;0,'СРОКИ'!K10&lt;='СРОКИ'!$B$6),('CF_Аренда'!$B$32-'CF_Аренда'!K34)*'Вводные'!$B$59/12,0)</f>
        <v/>
      </c>
      <c r="L35" s="47">
        <f>'CF_Аренда'!L17*'Вводные'!$B$57+IF(AND('CF_Аренда'!L31&gt;0,'CF_Аренда'!K33=0),'CF_Аренда'!$B$31*'Вводные'!$B$58,0)+IF(AND('CF_Аренда'!L32&gt;0,'CF_Аренда'!K34=0),'CF_Аренда'!$B$32*'Вводные'!$B$58,0)+IF(AND('CF_Аренда'!L33&gt;0,'СРОКИ'!L10&lt;'СРОКИ'!$B$5),('CF_Аренда'!$B$31-'CF_Аренда'!L33)*'Вводные'!$B$59/12,0)+IF(AND('CF_Аренда'!L34&gt;0,'СРОКИ'!L10&lt;='СРОКИ'!$B$6),('CF_Аренда'!$B$32-'CF_Аренда'!L34)*'Вводные'!$B$59/12,0)</f>
        <v/>
      </c>
      <c r="M35" s="47">
        <f>'CF_Аренда'!M17*'Вводные'!$B$57+IF(AND('CF_Аренда'!M31&gt;0,'CF_Аренда'!L33=0),'CF_Аренда'!$B$31*'Вводные'!$B$58,0)+IF(AND('CF_Аренда'!M32&gt;0,'CF_Аренда'!L34=0),'CF_Аренда'!$B$32*'Вводные'!$B$58,0)+IF(AND('CF_Аренда'!M33&gt;0,'СРОКИ'!M10&lt;'СРОКИ'!$B$5),('CF_Аренда'!$B$31-'CF_Аренда'!M33)*'Вводные'!$B$59/12,0)+IF(AND('CF_Аренда'!M34&gt;0,'СРОКИ'!M10&lt;='СРОКИ'!$B$6),('CF_Аренда'!$B$32-'CF_Аренда'!M34)*'Вводные'!$B$59/12,0)</f>
        <v/>
      </c>
      <c r="N35" s="47">
        <f>'CF_Аренда'!N17*'Вводные'!$B$57+IF(AND('CF_Аренда'!N31&gt;0,'CF_Аренда'!M33=0),'CF_Аренда'!$B$31*'Вводные'!$B$58,0)+IF(AND('CF_Аренда'!N32&gt;0,'CF_Аренда'!M34=0),'CF_Аренда'!$B$32*'Вводные'!$B$58,0)+IF(AND('CF_Аренда'!N33&gt;0,'СРОКИ'!N10&lt;'СРОКИ'!$B$5),('CF_Аренда'!$B$31-'CF_Аренда'!N33)*'Вводные'!$B$59/12,0)+IF(AND('CF_Аренда'!N34&gt;0,'СРОКИ'!N10&lt;='СРОКИ'!$B$6),('CF_Аренда'!$B$32-'CF_Аренда'!N34)*'Вводные'!$B$59/12,0)</f>
        <v/>
      </c>
      <c r="O35" s="47">
        <f>'CF_Аренда'!O17*'Вводные'!$B$57+IF(AND('CF_Аренда'!O31&gt;0,'CF_Аренда'!N33=0),'CF_Аренда'!$B$31*'Вводные'!$B$58,0)+IF(AND('CF_Аренда'!O32&gt;0,'CF_Аренда'!N34=0),'CF_Аренда'!$B$32*'Вводные'!$B$58,0)+IF(AND('CF_Аренда'!O33&gt;0,'СРОКИ'!O10&lt;'СРОКИ'!$B$5),('CF_Аренда'!$B$31-'CF_Аренда'!O33)*'Вводные'!$B$59/12,0)+IF(AND('CF_Аренда'!O34&gt;0,'СРОКИ'!O10&lt;='СРОКИ'!$B$6),('CF_Аренда'!$B$32-'CF_Аренда'!O34)*'Вводные'!$B$59/12,0)</f>
        <v/>
      </c>
      <c r="P35" s="47">
        <f>'CF_Аренда'!P17*'Вводные'!$B$57+IF(AND('CF_Аренда'!P31&gt;0,'CF_Аренда'!O33=0),'CF_Аренда'!$B$31*'Вводные'!$B$58,0)+IF(AND('CF_Аренда'!P32&gt;0,'CF_Аренда'!O34=0),'CF_Аренда'!$B$32*'Вводные'!$B$58,0)+IF(AND('CF_Аренда'!P33&gt;0,'СРОКИ'!P10&lt;'СРОКИ'!$B$5),('CF_Аренда'!$B$31-'CF_Аренда'!P33)*'Вводные'!$B$59/12,0)+IF(AND('CF_Аренда'!P34&gt;0,'СРОКИ'!P10&lt;='СРОКИ'!$B$6),('CF_Аренда'!$B$32-'CF_Аренда'!P34)*'Вводные'!$B$59/12,0)</f>
        <v/>
      </c>
      <c r="Q35" s="47">
        <f>'CF_Аренда'!Q17*'Вводные'!$B$57+IF(AND('CF_Аренда'!Q31&gt;0,'CF_Аренда'!P33=0),'CF_Аренда'!$B$31*'Вводные'!$B$58,0)+IF(AND('CF_Аренда'!Q32&gt;0,'CF_Аренда'!P34=0),'CF_Аренда'!$B$32*'Вводные'!$B$58,0)+IF(AND('CF_Аренда'!Q33&gt;0,'СРОКИ'!Q10&lt;'СРОКИ'!$B$5),('CF_Аренда'!$B$31-'CF_Аренда'!Q33)*'Вводные'!$B$59/12,0)+IF(AND('CF_Аренда'!Q34&gt;0,'СРОКИ'!Q10&lt;='СРОКИ'!$B$6),('CF_Аренда'!$B$32-'CF_Аренда'!Q34)*'Вводные'!$B$59/12,0)</f>
        <v/>
      </c>
      <c r="R35" s="47">
        <f>'CF_Аренда'!R17*'Вводные'!$B$57+IF(AND('CF_Аренда'!R31&gt;0,'CF_Аренда'!Q33=0),'CF_Аренда'!$B$31*'Вводные'!$B$58,0)+IF(AND('CF_Аренда'!R32&gt;0,'CF_Аренда'!Q34=0),'CF_Аренда'!$B$32*'Вводные'!$B$58,0)+IF(AND('CF_Аренда'!R33&gt;0,'СРОКИ'!R10&lt;'СРОКИ'!$B$5),('CF_Аренда'!$B$31-'CF_Аренда'!R33)*'Вводные'!$B$59/12,0)+IF(AND('CF_Аренда'!R34&gt;0,'СРОКИ'!R10&lt;='СРОКИ'!$B$6),('CF_Аренда'!$B$32-'CF_Аренда'!R34)*'Вводные'!$B$59/12,0)</f>
        <v/>
      </c>
      <c r="S35" s="47">
        <f>'CF_Аренда'!S17*'Вводные'!$B$57+IF(AND('CF_Аренда'!S31&gt;0,'CF_Аренда'!R33=0),'CF_Аренда'!$B$31*'Вводные'!$B$58,0)+IF(AND('CF_Аренда'!S32&gt;0,'CF_Аренда'!R34=0),'CF_Аренда'!$B$32*'Вводные'!$B$58,0)+IF(AND('CF_Аренда'!S33&gt;0,'СРОКИ'!S10&lt;'СРОКИ'!$B$5),('CF_Аренда'!$B$31-'CF_Аренда'!S33)*'Вводные'!$B$59/12,0)+IF(AND('CF_Аренда'!S34&gt;0,'СРОКИ'!S10&lt;='СРОКИ'!$B$6),('CF_Аренда'!$B$32-'CF_Аренда'!S34)*'Вводные'!$B$59/12,0)</f>
        <v/>
      </c>
      <c r="T35" s="47">
        <f>'CF_Аренда'!T17*'Вводные'!$B$57+IF(AND('CF_Аренда'!T31&gt;0,'CF_Аренда'!S33=0),'CF_Аренда'!$B$31*'Вводные'!$B$58,0)+IF(AND('CF_Аренда'!T32&gt;0,'CF_Аренда'!S34=0),'CF_Аренда'!$B$32*'Вводные'!$B$58,0)+IF(AND('CF_Аренда'!T33&gt;0,'СРОКИ'!T10&lt;'СРОКИ'!$B$5),('CF_Аренда'!$B$31-'CF_Аренда'!T33)*'Вводные'!$B$59/12,0)+IF(AND('CF_Аренда'!T34&gt;0,'СРОКИ'!T10&lt;='СРОКИ'!$B$6),('CF_Аренда'!$B$32-'CF_Аренда'!T34)*'Вводные'!$B$59/12,0)</f>
        <v/>
      </c>
      <c r="U35" s="47">
        <f>'CF_Аренда'!U17*'Вводные'!$B$57+IF(AND('CF_Аренда'!U31&gt;0,'CF_Аренда'!T33=0),'CF_Аренда'!$B$31*'Вводные'!$B$58,0)+IF(AND('CF_Аренда'!U32&gt;0,'CF_Аренда'!T34=0),'CF_Аренда'!$B$32*'Вводные'!$B$58,0)+IF(AND('CF_Аренда'!U33&gt;0,'СРОКИ'!U10&lt;'СРОКИ'!$B$5),('CF_Аренда'!$B$31-'CF_Аренда'!U33)*'Вводные'!$B$59/12,0)+IF(AND('CF_Аренда'!U34&gt;0,'СРОКИ'!U10&lt;='СРОКИ'!$B$6),('CF_Аренда'!$B$32-'CF_Аренда'!U34)*'Вводные'!$B$59/12,0)</f>
        <v/>
      </c>
      <c r="V35" s="47">
        <f>'CF_Аренда'!V17*'Вводные'!$B$57+IF(AND('CF_Аренда'!V31&gt;0,'CF_Аренда'!U33=0),'CF_Аренда'!$B$31*'Вводные'!$B$58,0)+IF(AND('CF_Аренда'!V32&gt;0,'CF_Аренда'!U34=0),'CF_Аренда'!$B$32*'Вводные'!$B$58,0)+IF(AND('CF_Аренда'!V33&gt;0,'СРОКИ'!V10&lt;'СРОКИ'!$B$5),('CF_Аренда'!$B$31-'CF_Аренда'!V33)*'Вводные'!$B$59/12,0)+IF(AND('CF_Аренда'!V34&gt;0,'СРОКИ'!V10&lt;='СРОКИ'!$B$6),('CF_Аренда'!$B$32-'CF_Аренда'!V34)*'Вводные'!$B$59/12,0)</f>
        <v/>
      </c>
      <c r="W35" s="47">
        <f>'CF_Аренда'!W17*'Вводные'!$B$57+IF(AND('CF_Аренда'!W31&gt;0,'CF_Аренда'!V33=0),'CF_Аренда'!$B$31*'Вводные'!$B$58,0)+IF(AND('CF_Аренда'!W32&gt;0,'CF_Аренда'!V34=0),'CF_Аренда'!$B$32*'Вводные'!$B$58,0)+IF(AND('CF_Аренда'!W33&gt;0,'СРОКИ'!W10&lt;'СРОКИ'!$B$5),('CF_Аренда'!$B$31-'CF_Аренда'!W33)*'Вводные'!$B$59/12,0)+IF(AND('CF_Аренда'!W34&gt;0,'СРОКИ'!W10&lt;='СРОКИ'!$B$6),('CF_Аренда'!$B$32-'CF_Аренда'!W34)*'Вводные'!$B$59/12,0)</f>
        <v/>
      </c>
      <c r="X35" s="47">
        <f>'CF_Аренда'!X17*'Вводные'!$B$57+IF(AND('CF_Аренда'!X31&gt;0,'CF_Аренда'!W33=0),'CF_Аренда'!$B$31*'Вводные'!$B$58,0)+IF(AND('CF_Аренда'!X32&gt;0,'CF_Аренда'!W34=0),'CF_Аренда'!$B$32*'Вводные'!$B$58,0)+IF(AND('CF_Аренда'!X33&gt;0,'СРОКИ'!X10&lt;'СРОКИ'!$B$5),('CF_Аренда'!$B$31-'CF_Аренда'!X33)*'Вводные'!$B$59/12,0)+IF(AND('CF_Аренда'!X34&gt;0,'СРОКИ'!X10&lt;='СРОКИ'!$B$6),('CF_Аренда'!$B$32-'CF_Аренда'!X34)*'Вводные'!$B$59/12,0)</f>
        <v/>
      </c>
      <c r="Y35" s="47">
        <f>'CF_Аренда'!Y17*'Вводные'!$B$57+IF(AND('CF_Аренда'!Y31&gt;0,'CF_Аренда'!X33=0),'CF_Аренда'!$B$31*'Вводные'!$B$58,0)+IF(AND('CF_Аренда'!Y32&gt;0,'CF_Аренда'!X34=0),'CF_Аренда'!$B$32*'Вводные'!$B$58,0)+IF(AND('CF_Аренда'!Y33&gt;0,'СРОКИ'!Y10&lt;'СРОКИ'!$B$5),('CF_Аренда'!$B$31-'CF_Аренда'!Y33)*'Вводные'!$B$59/12,0)+IF(AND('CF_Аренда'!Y34&gt;0,'СРОКИ'!Y10&lt;='СРОКИ'!$B$6),('CF_Аренда'!$B$32-'CF_Аренда'!Y34)*'Вводные'!$B$59/12,0)</f>
        <v/>
      </c>
      <c r="Z35" s="47">
        <f>'CF_Аренда'!Z17*'Вводные'!$B$57+IF(AND('CF_Аренда'!Z31&gt;0,'CF_Аренда'!Y33=0),'CF_Аренда'!$B$31*'Вводные'!$B$58,0)+IF(AND('CF_Аренда'!Z32&gt;0,'CF_Аренда'!Y34=0),'CF_Аренда'!$B$32*'Вводные'!$B$58,0)+IF(AND('CF_Аренда'!Z33&gt;0,'СРОКИ'!Z10&lt;'СРОКИ'!$B$5),('CF_Аренда'!$B$31-'CF_Аренда'!Z33)*'Вводные'!$B$59/12,0)+IF(AND('CF_Аренда'!Z34&gt;0,'СРОКИ'!Z10&lt;='СРОКИ'!$B$6),('CF_Аренда'!$B$32-'CF_Аренда'!Z34)*'Вводные'!$B$59/12,0)</f>
        <v/>
      </c>
      <c r="AA35" s="47">
        <f>'CF_Аренда'!AA17*'Вводные'!$B$57+IF(AND('CF_Аренда'!AA31&gt;0,'CF_Аренда'!Z33=0),'CF_Аренда'!$B$31*'Вводные'!$B$58,0)+IF(AND('CF_Аренда'!AA32&gt;0,'CF_Аренда'!Z34=0),'CF_Аренда'!$B$32*'Вводные'!$B$58,0)+IF(AND('CF_Аренда'!AA33&gt;0,'СРОКИ'!AA10&lt;'СРОКИ'!$B$5),('CF_Аренда'!$B$31-'CF_Аренда'!AA33)*'Вводные'!$B$59/12,0)+IF(AND('CF_Аренда'!AA34&gt;0,'СРОКИ'!AA10&lt;='СРОКИ'!$B$6),('CF_Аренда'!$B$32-'CF_Аренда'!AA34)*'Вводные'!$B$59/12,0)</f>
        <v/>
      </c>
      <c r="AB35" s="47">
        <f>'CF_Аренда'!AB17*'Вводные'!$B$57+IF(AND('CF_Аренда'!AB31&gt;0,'CF_Аренда'!AA33=0),'CF_Аренда'!$B$31*'Вводные'!$B$58,0)+IF(AND('CF_Аренда'!AB32&gt;0,'CF_Аренда'!AA34=0),'CF_Аренда'!$B$32*'Вводные'!$B$58,0)+IF(AND('CF_Аренда'!AB33&gt;0,'СРОКИ'!AB10&lt;'СРОКИ'!$B$5),('CF_Аренда'!$B$31-'CF_Аренда'!AB33)*'Вводные'!$B$59/12,0)+IF(AND('CF_Аренда'!AB34&gt;0,'СРОКИ'!AB10&lt;='СРОКИ'!$B$6),('CF_Аренда'!$B$32-'CF_Аренда'!AB34)*'Вводные'!$B$59/12,0)</f>
        <v/>
      </c>
      <c r="AC35" s="47">
        <f>'CF_Аренда'!AC17*'Вводные'!$B$57+IF(AND('CF_Аренда'!AC31&gt;0,'CF_Аренда'!AB33=0),'CF_Аренда'!$B$31*'Вводные'!$B$58,0)+IF(AND('CF_Аренда'!AC32&gt;0,'CF_Аренда'!AB34=0),'CF_Аренда'!$B$32*'Вводные'!$B$58,0)+IF(AND('CF_Аренда'!AC33&gt;0,'СРОКИ'!AC10&lt;'СРОКИ'!$B$5),('CF_Аренда'!$B$31-'CF_Аренда'!AC33)*'Вводные'!$B$59/12,0)+IF(AND('CF_Аренда'!AC34&gt;0,'СРОКИ'!AC10&lt;='СРОКИ'!$B$6),('CF_Аренда'!$B$32-'CF_Аренда'!AC34)*'Вводные'!$B$59/12,0)</f>
        <v/>
      </c>
      <c r="AD35" s="47">
        <f>'CF_Аренда'!AD17*'Вводные'!$B$57+IF(AND('CF_Аренда'!AD31&gt;0,'CF_Аренда'!AC33=0),'CF_Аренда'!$B$31*'Вводные'!$B$58,0)+IF(AND('CF_Аренда'!AD32&gt;0,'CF_Аренда'!AC34=0),'CF_Аренда'!$B$32*'Вводные'!$B$58,0)+IF(AND('CF_Аренда'!AD33&gt;0,'СРОКИ'!AD10&lt;'СРОКИ'!$B$5),('CF_Аренда'!$B$31-'CF_Аренда'!AD33)*'Вводные'!$B$59/12,0)+IF(AND('CF_Аренда'!AD34&gt;0,'СРОКИ'!AD10&lt;='СРОКИ'!$B$6),('CF_Аренда'!$B$32-'CF_Аренда'!AD34)*'Вводные'!$B$59/12,0)</f>
        <v/>
      </c>
      <c r="AE35" s="47">
        <f>'CF_Аренда'!AE17*'Вводные'!$B$57+IF(AND('CF_Аренда'!AE31&gt;0,'CF_Аренда'!AD33=0),'CF_Аренда'!$B$31*'Вводные'!$B$58,0)+IF(AND('CF_Аренда'!AE32&gt;0,'CF_Аренда'!AD34=0),'CF_Аренда'!$B$32*'Вводные'!$B$58,0)+IF(AND('CF_Аренда'!AE33&gt;0,'СРОКИ'!AE10&lt;'СРОКИ'!$B$5),('CF_Аренда'!$B$31-'CF_Аренда'!AE33)*'Вводные'!$B$59/12,0)+IF(AND('CF_Аренда'!AE34&gt;0,'СРОКИ'!AE10&lt;='СРОКИ'!$B$6),('CF_Аренда'!$B$32-'CF_Аренда'!AE34)*'Вводные'!$B$59/12,0)</f>
        <v/>
      </c>
      <c r="AF35" s="47">
        <f>'CF_Аренда'!AF17*'Вводные'!$B$57+IF(AND('CF_Аренда'!AF31&gt;0,'CF_Аренда'!AE33=0),'CF_Аренда'!$B$31*'Вводные'!$B$58,0)+IF(AND('CF_Аренда'!AF32&gt;0,'CF_Аренда'!AE34=0),'CF_Аренда'!$B$32*'Вводные'!$B$58,0)+IF(AND('CF_Аренда'!AF33&gt;0,'СРОКИ'!AF10&lt;'СРОКИ'!$B$5),('CF_Аренда'!$B$31-'CF_Аренда'!AF33)*'Вводные'!$B$59/12,0)+IF(AND('CF_Аренда'!AF34&gt;0,'СРОКИ'!AF10&lt;='СРОКИ'!$B$6),('CF_Аренда'!$B$32-'CF_Аренда'!AF34)*'Вводные'!$B$59/12,0)</f>
        <v/>
      </c>
      <c r="AG35" s="47">
        <f>'CF_Аренда'!AG17*'Вводные'!$B$57+IF(AND('CF_Аренда'!AG31&gt;0,'CF_Аренда'!AF33=0),'CF_Аренда'!$B$31*'Вводные'!$B$58,0)+IF(AND('CF_Аренда'!AG32&gt;0,'CF_Аренда'!AF34=0),'CF_Аренда'!$B$32*'Вводные'!$B$58,0)+IF(AND('CF_Аренда'!AG33&gt;0,'СРОКИ'!AG10&lt;'СРОКИ'!$B$5),('CF_Аренда'!$B$31-'CF_Аренда'!AG33)*'Вводные'!$B$59/12,0)+IF(AND('CF_Аренда'!AG34&gt;0,'СРОКИ'!AG10&lt;='СРОКИ'!$B$6),('CF_Аренда'!$B$32-'CF_Аренда'!AG34)*'Вводные'!$B$59/12,0)</f>
        <v/>
      </c>
      <c r="AH35" s="47">
        <f>'CF_Аренда'!AH17*'Вводные'!$B$57+IF(AND('CF_Аренда'!AH31&gt;0,'CF_Аренда'!AG33=0),'CF_Аренда'!$B$31*'Вводные'!$B$58,0)+IF(AND('CF_Аренда'!AH32&gt;0,'CF_Аренда'!AG34=0),'CF_Аренда'!$B$32*'Вводные'!$B$58,0)+IF(AND('CF_Аренда'!AH33&gt;0,'СРОКИ'!AH10&lt;'СРОКИ'!$B$5),('CF_Аренда'!$B$31-'CF_Аренда'!AH33)*'Вводные'!$B$59/12,0)+IF(AND('CF_Аренда'!AH34&gt;0,'СРОКИ'!AH10&lt;='СРОКИ'!$B$6),('CF_Аренда'!$B$32-'CF_Аренда'!AH34)*'Вводные'!$B$59/12,0)</f>
        <v/>
      </c>
      <c r="AI35" s="47">
        <f>'CF_Аренда'!AI17*'Вводные'!$B$57+IF(AND('CF_Аренда'!AI31&gt;0,'CF_Аренда'!AH33=0),'CF_Аренда'!$B$31*'Вводные'!$B$58,0)+IF(AND('CF_Аренда'!AI32&gt;0,'CF_Аренда'!AH34=0),'CF_Аренда'!$B$32*'Вводные'!$B$58,0)+IF(AND('CF_Аренда'!AI33&gt;0,'СРОКИ'!AI10&lt;'СРОКИ'!$B$5),('CF_Аренда'!$B$31-'CF_Аренда'!AI33)*'Вводные'!$B$59/12,0)+IF(AND('CF_Аренда'!AI34&gt;0,'СРОКИ'!AI10&lt;='СРОКИ'!$B$6),('CF_Аренда'!$B$32-'CF_Аренда'!AI34)*'Вводные'!$B$59/12,0)</f>
        <v/>
      </c>
      <c r="AJ35" s="47">
        <f>'CF_Аренда'!AJ17*'Вводные'!$B$57+IF(AND('CF_Аренда'!AJ31&gt;0,'CF_Аренда'!AI33=0),'CF_Аренда'!$B$31*'Вводные'!$B$58,0)+IF(AND('CF_Аренда'!AJ32&gt;0,'CF_Аренда'!AI34=0),'CF_Аренда'!$B$32*'Вводные'!$B$58,0)+IF(AND('CF_Аренда'!AJ33&gt;0,'СРОКИ'!AJ10&lt;'СРОКИ'!$B$5),('CF_Аренда'!$B$31-'CF_Аренда'!AJ33)*'Вводные'!$B$59/12,0)+IF(AND('CF_Аренда'!AJ34&gt;0,'СРОКИ'!AJ10&lt;='СРОКИ'!$B$6),('CF_Аренда'!$B$32-'CF_Аренда'!AJ34)*'Вводные'!$B$59/12,0)</f>
        <v/>
      </c>
      <c r="AK35" s="47">
        <f>'CF_Аренда'!AK17*'Вводные'!$B$57+IF(AND('CF_Аренда'!AK31&gt;0,'CF_Аренда'!AJ33=0),'CF_Аренда'!$B$31*'Вводные'!$B$58,0)+IF(AND('CF_Аренда'!AK32&gt;0,'CF_Аренда'!AJ34=0),'CF_Аренда'!$B$32*'Вводные'!$B$58,0)+IF(AND('CF_Аренда'!AK33&gt;0,'СРОКИ'!AK10&lt;'СРОКИ'!$B$5),('CF_Аренда'!$B$31-'CF_Аренда'!AK33)*'Вводные'!$B$59/12,0)+IF(AND('CF_Аренда'!AK34&gt;0,'СРОКИ'!AK10&lt;='СРОКИ'!$B$6),('CF_Аренда'!$B$32-'CF_Аренда'!AK34)*'Вводные'!$B$59/12,0)</f>
        <v/>
      </c>
      <c r="AL35" s="47">
        <f>'CF_Аренда'!AL17*'Вводные'!$B$57+IF(AND('CF_Аренда'!AL31&gt;0,'CF_Аренда'!AK33=0),'CF_Аренда'!$B$31*'Вводные'!$B$58,0)+IF(AND('CF_Аренда'!AL32&gt;0,'CF_Аренда'!AK34=0),'CF_Аренда'!$B$32*'Вводные'!$B$58,0)+IF(AND('CF_Аренда'!AL33&gt;0,'СРОКИ'!AL10&lt;'СРОКИ'!$B$5),('CF_Аренда'!$B$31-'CF_Аренда'!AL33)*'Вводные'!$B$59/12,0)+IF(AND('CF_Аренда'!AL34&gt;0,'СРОКИ'!AL10&lt;='СРОКИ'!$B$6),('CF_Аренда'!$B$32-'CF_Аренда'!AL34)*'Вводные'!$B$59/12,0)</f>
        <v/>
      </c>
      <c r="AM35" s="47">
        <f>'CF_Аренда'!AM17*'Вводные'!$B$57+IF(AND('CF_Аренда'!AM31&gt;0,'CF_Аренда'!AL33=0),'CF_Аренда'!$B$31*'Вводные'!$B$58,0)+IF(AND('CF_Аренда'!AM32&gt;0,'CF_Аренда'!AL34=0),'CF_Аренда'!$B$32*'Вводные'!$B$58,0)+IF(AND('CF_Аренда'!AM33&gt;0,'СРОКИ'!AM10&lt;'СРОКИ'!$B$5),('CF_Аренда'!$B$31-'CF_Аренда'!AM33)*'Вводные'!$B$59/12,0)+IF(AND('CF_Аренда'!AM34&gt;0,'СРОКИ'!AM10&lt;='СРОКИ'!$B$6),('CF_Аренда'!$B$32-'CF_Аренда'!AM34)*'Вводные'!$B$59/12,0)</f>
        <v/>
      </c>
      <c r="AN35" s="47">
        <f>'CF_Аренда'!AN17*'Вводные'!$B$57+IF(AND('CF_Аренда'!AN31&gt;0,'CF_Аренда'!AM33=0),'CF_Аренда'!$B$31*'Вводные'!$B$58,0)+IF(AND('CF_Аренда'!AN32&gt;0,'CF_Аренда'!AM34=0),'CF_Аренда'!$B$32*'Вводные'!$B$58,0)+IF(AND('CF_Аренда'!AN33&gt;0,'СРОКИ'!AN10&lt;'СРОКИ'!$B$5),('CF_Аренда'!$B$31-'CF_Аренда'!AN33)*'Вводные'!$B$59/12,0)+IF(AND('CF_Аренда'!AN34&gt;0,'СРОКИ'!AN10&lt;='СРОКИ'!$B$6),('CF_Аренда'!$B$32-'CF_Аренда'!AN34)*'Вводные'!$B$59/12,0)</f>
        <v/>
      </c>
      <c r="AO35" s="47">
        <f>'CF_Аренда'!AO17*'Вводные'!$B$57+IF(AND('CF_Аренда'!AO31&gt;0,'CF_Аренда'!AN33=0),'CF_Аренда'!$B$31*'Вводные'!$B$58,0)+IF(AND('CF_Аренда'!AO32&gt;0,'CF_Аренда'!AN34=0),'CF_Аренда'!$B$32*'Вводные'!$B$58,0)+IF(AND('CF_Аренда'!AO33&gt;0,'СРОКИ'!AO10&lt;'СРОКИ'!$B$5),('CF_Аренда'!$B$31-'CF_Аренда'!AO33)*'Вводные'!$B$59/12,0)+IF(AND('CF_Аренда'!AO34&gt;0,'СРОКИ'!AO10&lt;='СРОКИ'!$B$6),('CF_Аренда'!$B$32-'CF_Аренда'!AO34)*'Вводные'!$B$59/12,0)</f>
        <v/>
      </c>
      <c r="AP35" s="47">
        <f>'CF_Аренда'!AP17*'Вводные'!$B$57+IF(AND('CF_Аренда'!AP31&gt;0,'CF_Аренда'!AO33=0),'CF_Аренда'!$B$31*'Вводные'!$B$58,0)+IF(AND('CF_Аренда'!AP32&gt;0,'CF_Аренда'!AO34=0),'CF_Аренда'!$B$32*'Вводные'!$B$58,0)+IF(AND('CF_Аренда'!AP33&gt;0,'СРОКИ'!AP10&lt;'СРОКИ'!$B$5),('CF_Аренда'!$B$31-'CF_Аренда'!AP33)*'Вводные'!$B$59/12,0)+IF(AND('CF_Аренда'!AP34&gt;0,'СРОКИ'!AP10&lt;='СРОКИ'!$B$6),('CF_Аренда'!$B$32-'CF_Аренда'!AP34)*'Вводные'!$B$59/12,0)</f>
        <v/>
      </c>
      <c r="AQ35" s="47">
        <f>'CF_Аренда'!AQ17*'Вводные'!$B$57+IF(AND('CF_Аренда'!AQ31&gt;0,'CF_Аренда'!AP33=0),'CF_Аренда'!$B$31*'Вводные'!$B$58,0)+IF(AND('CF_Аренда'!AQ32&gt;0,'CF_Аренда'!AP34=0),'CF_Аренда'!$B$32*'Вводные'!$B$58,0)+IF(AND('CF_Аренда'!AQ33&gt;0,'СРОКИ'!AQ10&lt;'СРОКИ'!$B$5),('CF_Аренда'!$B$31-'CF_Аренда'!AQ33)*'Вводные'!$B$59/12,0)+IF(AND('CF_Аренда'!AQ34&gt;0,'СРОКИ'!AQ10&lt;='СРОКИ'!$B$6),('CF_Аренда'!$B$32-'CF_Аренда'!AQ34)*'Вводные'!$B$59/12,0)</f>
        <v/>
      </c>
      <c r="AR35" s="47">
        <f>'CF_Аренда'!AR17*'Вводные'!$B$57+IF(AND('CF_Аренда'!AR31&gt;0,'CF_Аренда'!AQ33=0),'CF_Аренда'!$B$31*'Вводные'!$B$58,0)+IF(AND('CF_Аренда'!AR32&gt;0,'CF_Аренда'!AQ34=0),'CF_Аренда'!$B$32*'Вводные'!$B$58,0)+IF(AND('CF_Аренда'!AR33&gt;0,'СРОКИ'!AR10&lt;'СРОКИ'!$B$5),('CF_Аренда'!$B$31-'CF_Аренда'!AR33)*'Вводные'!$B$59/12,0)+IF(AND('CF_Аренда'!AR34&gt;0,'СРОКИ'!AR10&lt;='СРОКИ'!$B$6),('CF_Аренда'!$B$32-'CF_Аренда'!AR34)*'Вводные'!$B$59/12,0)</f>
        <v/>
      </c>
      <c r="AS35" s="47">
        <f>'CF_Аренда'!AS17*'Вводные'!$B$57+IF(AND('CF_Аренда'!AS31&gt;0,'CF_Аренда'!AR33=0),'CF_Аренда'!$B$31*'Вводные'!$B$58,0)+IF(AND('CF_Аренда'!AS32&gt;0,'CF_Аренда'!AR34=0),'CF_Аренда'!$B$32*'Вводные'!$B$58,0)+IF(AND('CF_Аренда'!AS33&gt;0,'СРОКИ'!AS10&lt;'СРОКИ'!$B$5),('CF_Аренда'!$B$31-'CF_Аренда'!AS33)*'Вводные'!$B$59/12,0)+IF(AND('CF_Аренда'!AS34&gt;0,'СРОКИ'!AS10&lt;='СРОКИ'!$B$6),('CF_Аренда'!$B$32-'CF_Аренда'!AS34)*'Вводные'!$B$59/12,0)</f>
        <v/>
      </c>
      <c r="AT35" s="47">
        <f>'CF_Аренда'!AT17*'Вводные'!$B$57+IF(AND('CF_Аренда'!AT31&gt;0,'CF_Аренда'!AS33=0),'CF_Аренда'!$B$31*'Вводные'!$B$58,0)+IF(AND('CF_Аренда'!AT32&gt;0,'CF_Аренда'!AS34=0),'CF_Аренда'!$B$32*'Вводные'!$B$58,0)+IF(AND('CF_Аренда'!AT33&gt;0,'СРОКИ'!AT10&lt;'СРОКИ'!$B$5),('CF_Аренда'!$B$31-'CF_Аренда'!AT33)*'Вводные'!$B$59/12,0)+IF(AND('CF_Аренда'!AT34&gt;0,'СРОКИ'!AT10&lt;='СРОКИ'!$B$6),('CF_Аренда'!$B$32-'CF_Аренда'!AT34)*'Вводные'!$B$59/12,0)</f>
        <v/>
      </c>
      <c r="AU35" s="47">
        <f>'CF_Аренда'!AU17*'Вводные'!$B$57+IF(AND('CF_Аренда'!AU31&gt;0,'CF_Аренда'!AT33=0),'CF_Аренда'!$B$31*'Вводные'!$B$58,0)+IF(AND('CF_Аренда'!AU32&gt;0,'CF_Аренда'!AT34=0),'CF_Аренда'!$B$32*'Вводные'!$B$58,0)+IF(AND('CF_Аренда'!AU33&gt;0,'СРОКИ'!AU10&lt;'СРОКИ'!$B$5),('CF_Аренда'!$B$31-'CF_Аренда'!AU33)*'Вводные'!$B$59/12,0)+IF(AND('CF_Аренда'!AU34&gt;0,'СРОКИ'!AU10&lt;='СРОКИ'!$B$6),('CF_Аренда'!$B$32-'CF_Аренда'!AU34)*'Вводные'!$B$59/12,0)</f>
        <v/>
      </c>
      <c r="AV35" s="47">
        <f>'CF_Аренда'!AV17*'Вводные'!$B$57+IF(AND('CF_Аренда'!AV31&gt;0,'CF_Аренда'!AU33=0),'CF_Аренда'!$B$31*'Вводные'!$B$58,0)+IF(AND('CF_Аренда'!AV32&gt;0,'CF_Аренда'!AU34=0),'CF_Аренда'!$B$32*'Вводные'!$B$58,0)+IF(AND('CF_Аренда'!AV33&gt;0,'СРОКИ'!AV10&lt;'СРОКИ'!$B$5),('CF_Аренда'!$B$31-'CF_Аренда'!AV33)*'Вводные'!$B$59/12,0)+IF(AND('CF_Аренда'!AV34&gt;0,'СРОКИ'!AV10&lt;='СРОКИ'!$B$6),('CF_Аренда'!$B$32-'CF_Аренда'!AV34)*'Вводные'!$B$59/12,0)</f>
        <v/>
      </c>
      <c r="AW35" s="47">
        <f>'CF_Аренда'!AW17*'Вводные'!$B$57+IF(AND('CF_Аренда'!AW31&gt;0,'CF_Аренда'!AV33=0),'CF_Аренда'!$B$31*'Вводные'!$B$58,0)+IF(AND('CF_Аренда'!AW32&gt;0,'CF_Аренда'!AV34=0),'CF_Аренда'!$B$32*'Вводные'!$B$58,0)+IF(AND('CF_Аренда'!AW33&gt;0,'СРОКИ'!AW10&lt;'СРОКИ'!$B$5),('CF_Аренда'!$B$31-'CF_Аренда'!AW33)*'Вводные'!$B$59/12,0)+IF(AND('CF_Аренда'!AW34&gt;0,'СРОКИ'!AW10&lt;='СРОКИ'!$B$6),('CF_Аренда'!$B$32-'CF_Аренда'!AW34)*'Вводные'!$B$59/12,0)</f>
        <v/>
      </c>
      <c r="AX35" s="47">
        <f>'CF_Аренда'!AX17*'Вводные'!$B$57+IF(AND('CF_Аренда'!AX31&gt;0,'CF_Аренда'!AW33=0),'CF_Аренда'!$B$31*'Вводные'!$B$58,0)+IF(AND('CF_Аренда'!AX32&gt;0,'CF_Аренда'!AW34=0),'CF_Аренда'!$B$32*'Вводные'!$B$58,0)+IF(AND('CF_Аренда'!AX33&gt;0,'СРОКИ'!AX10&lt;'СРОКИ'!$B$5),('CF_Аренда'!$B$31-'CF_Аренда'!AX33)*'Вводные'!$B$59/12,0)+IF(AND('CF_Аренда'!AX34&gt;0,'СРОКИ'!AX10&lt;='СРОКИ'!$B$6),('CF_Аренда'!$B$32-'CF_Аренда'!AX34)*'Вводные'!$B$59/12,0)</f>
        <v/>
      </c>
      <c r="AY35" s="47">
        <f>'CF_Аренда'!AY17*'Вводные'!$B$57+IF(AND('CF_Аренда'!AY31&gt;0,'CF_Аренда'!AX33=0),'CF_Аренда'!$B$31*'Вводные'!$B$58,0)+IF(AND('CF_Аренда'!AY32&gt;0,'CF_Аренда'!AX34=0),'CF_Аренда'!$B$32*'Вводные'!$B$58,0)+IF(AND('CF_Аренда'!AY33&gt;0,'СРОКИ'!AY10&lt;'СРОКИ'!$B$5),('CF_Аренда'!$B$31-'CF_Аренда'!AY33)*'Вводные'!$B$59/12,0)+IF(AND('CF_Аренда'!AY34&gt;0,'СРОКИ'!AY10&lt;='СРОКИ'!$B$6),('CF_Аренда'!$B$32-'CF_Аренда'!AY34)*'Вводные'!$B$59/12,0)</f>
        <v/>
      </c>
      <c r="AZ35" s="47">
        <f>'CF_Аренда'!AZ17*'Вводные'!$B$57+IF(AND('CF_Аренда'!AZ31&gt;0,'CF_Аренда'!AY33=0),'CF_Аренда'!$B$31*'Вводные'!$B$58,0)+IF(AND('CF_Аренда'!AZ32&gt;0,'CF_Аренда'!AY34=0),'CF_Аренда'!$B$32*'Вводные'!$B$58,0)+IF(AND('CF_Аренда'!AZ33&gt;0,'СРОКИ'!AZ10&lt;'СРОКИ'!$B$5),('CF_Аренда'!$B$31-'CF_Аренда'!AZ33)*'Вводные'!$B$59/12,0)+IF(AND('CF_Аренда'!AZ34&gt;0,'СРОКИ'!AZ10&lt;='СРОКИ'!$B$6),('CF_Аренда'!$B$32-'CF_Аренда'!AZ34)*'Вводные'!$B$59/12,0)</f>
        <v/>
      </c>
      <c r="BA35" s="47">
        <f>'CF_Аренда'!BA17*'Вводные'!$B$57+IF(AND('CF_Аренда'!BA31&gt;0,'CF_Аренда'!AZ33=0),'CF_Аренда'!$B$31*'Вводные'!$B$58,0)+IF(AND('CF_Аренда'!BA32&gt;0,'CF_Аренда'!AZ34=0),'CF_Аренда'!$B$32*'Вводные'!$B$58,0)+IF(AND('CF_Аренда'!BA33&gt;0,'СРОКИ'!BA10&lt;'СРОКИ'!$B$5),('CF_Аренда'!$B$31-'CF_Аренда'!BA33)*'Вводные'!$B$59/12,0)+IF(AND('CF_Аренда'!BA34&gt;0,'СРОКИ'!BA10&lt;='СРОКИ'!$B$6),('CF_Аренда'!$B$32-'CF_Аренда'!BA34)*'Вводные'!$B$59/12,0)</f>
        <v/>
      </c>
      <c r="BB35" s="47">
        <f>'CF_Аренда'!BB17*'Вводные'!$B$57+IF(AND('CF_Аренда'!BB31&gt;0,'CF_Аренда'!BA33=0),'CF_Аренда'!$B$31*'Вводные'!$B$58,0)+IF(AND('CF_Аренда'!BB32&gt;0,'CF_Аренда'!BA34=0),'CF_Аренда'!$B$32*'Вводные'!$B$58,0)+IF(AND('CF_Аренда'!BB33&gt;0,'СРОКИ'!BB10&lt;'СРОКИ'!$B$5),('CF_Аренда'!$B$31-'CF_Аренда'!BB33)*'Вводные'!$B$59/12,0)+IF(AND('CF_Аренда'!BB34&gt;0,'СРОКИ'!BB10&lt;='СРОКИ'!$B$6),('CF_Аренда'!$B$32-'CF_Аренда'!BB34)*'Вводные'!$B$59/12,0)</f>
        <v/>
      </c>
      <c r="BC35" s="47">
        <f>'CF_Аренда'!BC17*'Вводные'!$B$57+IF(AND('CF_Аренда'!BC31&gt;0,'CF_Аренда'!BB33=0),'CF_Аренда'!$B$31*'Вводные'!$B$58,0)+IF(AND('CF_Аренда'!BC32&gt;0,'CF_Аренда'!BB34=0),'CF_Аренда'!$B$32*'Вводные'!$B$58,0)+IF(AND('CF_Аренда'!BC33&gt;0,'СРОКИ'!BC10&lt;'СРОКИ'!$B$5),('CF_Аренда'!$B$31-'CF_Аренда'!BC33)*'Вводные'!$B$59/12,0)+IF(AND('CF_Аренда'!BC34&gt;0,'СРОКИ'!BC10&lt;='СРОКИ'!$B$6),('CF_Аренда'!$B$32-'CF_Аренда'!BC34)*'Вводные'!$B$59/12,0)</f>
        <v/>
      </c>
      <c r="BD35" s="47">
        <f>'CF_Аренда'!BD17*'Вводные'!$B$57+IF(AND('CF_Аренда'!BD31&gt;0,'CF_Аренда'!BC33=0),'CF_Аренда'!$B$31*'Вводные'!$B$58,0)+IF(AND('CF_Аренда'!BD32&gt;0,'CF_Аренда'!BC34=0),'CF_Аренда'!$B$32*'Вводные'!$B$58,0)+IF(AND('CF_Аренда'!BD33&gt;0,'СРОКИ'!BD10&lt;'СРОКИ'!$B$5),('CF_Аренда'!$B$31-'CF_Аренда'!BD33)*'Вводные'!$B$59/12,0)+IF(AND('CF_Аренда'!BD34&gt;0,'СРОКИ'!BD10&lt;='СРОКИ'!$B$6),('CF_Аренда'!$B$32-'CF_Аренда'!BD34)*'Вводные'!$B$59/12,0)</f>
        <v/>
      </c>
      <c r="BE35" s="47">
        <f>'CF_Аренда'!BE17*'Вводные'!$B$57+IF(AND('CF_Аренда'!BE31&gt;0,'CF_Аренда'!BD33=0),'CF_Аренда'!$B$31*'Вводные'!$B$58,0)+IF(AND('CF_Аренда'!BE32&gt;0,'CF_Аренда'!BD34=0),'CF_Аренда'!$B$32*'Вводные'!$B$58,0)+IF(AND('CF_Аренда'!BE33&gt;0,'СРОКИ'!BE10&lt;'СРОКИ'!$B$5),('CF_Аренда'!$B$31-'CF_Аренда'!BE33)*'Вводные'!$B$59/12,0)+IF(AND('CF_Аренда'!BE34&gt;0,'СРОКИ'!BE10&lt;='СРОКИ'!$B$6),('CF_Аренда'!$B$32-'CF_Аренда'!BE34)*'Вводные'!$B$59/12,0)</f>
        <v/>
      </c>
      <c r="BF35" s="47">
        <f>'CF_Аренда'!BF17*'Вводные'!$B$57+IF(AND('CF_Аренда'!BF31&gt;0,'CF_Аренда'!BE33=0),'CF_Аренда'!$B$31*'Вводные'!$B$58,0)+IF(AND('CF_Аренда'!BF32&gt;0,'CF_Аренда'!BE34=0),'CF_Аренда'!$B$32*'Вводные'!$B$58,0)+IF(AND('CF_Аренда'!BF33&gt;0,'СРОКИ'!BF10&lt;'СРОКИ'!$B$5),('CF_Аренда'!$B$31-'CF_Аренда'!BF33)*'Вводные'!$B$59/12,0)+IF(AND('CF_Аренда'!BF34&gt;0,'СРОКИ'!BF10&lt;='СРОКИ'!$B$6),('CF_Аренда'!$B$32-'CF_Аренда'!BF34)*'Вводные'!$B$59/12,0)</f>
        <v/>
      </c>
      <c r="BG35" s="47">
        <f>'CF_Аренда'!BG17*'Вводные'!$B$57+IF(AND('CF_Аренда'!BG31&gt;0,'CF_Аренда'!BF33=0),'CF_Аренда'!$B$31*'Вводные'!$B$58,0)+IF(AND('CF_Аренда'!BG32&gt;0,'CF_Аренда'!BF34=0),'CF_Аренда'!$B$32*'Вводные'!$B$58,0)+IF(AND('CF_Аренда'!BG33&gt;0,'СРОКИ'!BG10&lt;'СРОКИ'!$B$5),('CF_Аренда'!$B$31-'CF_Аренда'!BG33)*'Вводные'!$B$59/12,0)+IF(AND('CF_Аренда'!BG34&gt;0,'СРОКИ'!BG10&lt;='СРОКИ'!$B$6),('CF_Аренда'!$B$32-'CF_Аренда'!BG34)*'Вводные'!$B$59/12,0)</f>
        <v/>
      </c>
      <c r="BH35" s="47">
        <f>'CF_Аренда'!BH17*'Вводные'!$B$57+IF(AND('CF_Аренда'!BH31&gt;0,'CF_Аренда'!BG33=0),'CF_Аренда'!$B$31*'Вводные'!$B$58,0)+IF(AND('CF_Аренда'!BH32&gt;0,'CF_Аренда'!BG34=0),'CF_Аренда'!$B$32*'Вводные'!$B$58,0)+IF(AND('CF_Аренда'!BH33&gt;0,'СРОКИ'!BH10&lt;'СРОКИ'!$B$5),('CF_Аренда'!$B$31-'CF_Аренда'!BH33)*'Вводные'!$B$59/12,0)+IF(AND('CF_Аренда'!BH34&gt;0,'СРОКИ'!BH10&lt;='СРОКИ'!$B$6),('CF_Аренда'!$B$32-'CF_Аренда'!BH34)*'Вводные'!$B$59/12,0)</f>
        <v/>
      </c>
      <c r="BI35" s="47">
        <f>'CF_Аренда'!BI17*'Вводные'!$B$57+IF(AND('CF_Аренда'!BI31&gt;0,'CF_Аренда'!BH33=0),'CF_Аренда'!$B$31*'Вводные'!$B$58,0)+IF(AND('CF_Аренда'!BI32&gt;0,'CF_Аренда'!BH34=0),'CF_Аренда'!$B$32*'Вводные'!$B$58,0)+IF(AND('CF_Аренда'!BI33&gt;0,'СРОКИ'!BI10&lt;'СРОКИ'!$B$5),('CF_Аренда'!$B$31-'CF_Аренда'!BI33)*'Вводные'!$B$59/12,0)+IF(AND('CF_Аренда'!BI34&gt;0,'СРОКИ'!BI10&lt;='СРОКИ'!$B$6),('CF_Аренда'!$B$32-'CF_Аренда'!BI34)*'Вводные'!$B$59/12,0)</f>
        <v/>
      </c>
      <c r="BJ35" s="47">
        <f>'CF_Аренда'!BJ17*'Вводные'!$B$57+IF(AND('CF_Аренда'!BJ31&gt;0,'CF_Аренда'!BI33=0),'CF_Аренда'!$B$31*'Вводные'!$B$58,0)+IF(AND('CF_Аренда'!BJ32&gt;0,'CF_Аренда'!BI34=0),'CF_Аренда'!$B$32*'Вводные'!$B$58,0)+IF(AND('CF_Аренда'!BJ33&gt;0,'СРОКИ'!BJ10&lt;'СРОКИ'!$B$5),('CF_Аренда'!$B$31-'CF_Аренда'!BJ33)*'Вводные'!$B$59/12,0)+IF(AND('CF_Аренда'!BJ34&gt;0,'СРОКИ'!BJ10&lt;='СРОКИ'!$B$6),('CF_Аренда'!$B$32-'CF_Аренда'!BJ34)*'Вводные'!$B$59/12,0)</f>
        <v/>
      </c>
      <c r="BK35" s="47">
        <f>'CF_Аренда'!BK17*'Вводные'!$B$57+IF(AND('CF_Аренда'!BK31&gt;0,'CF_Аренда'!BJ33=0),'CF_Аренда'!$B$31*'Вводные'!$B$58,0)+IF(AND('CF_Аренда'!BK32&gt;0,'CF_Аренда'!BJ34=0),'CF_Аренда'!$B$32*'Вводные'!$B$58,0)+IF(AND('CF_Аренда'!BK33&gt;0,'СРОКИ'!BK10&lt;'СРОКИ'!$B$5),('CF_Аренда'!$B$31-'CF_Аренда'!BK33)*'Вводные'!$B$59/12,0)+IF(AND('CF_Аренда'!BK34&gt;0,'СРОКИ'!BK10&lt;='СРОКИ'!$B$6),('CF_Аренда'!$B$32-'CF_Аренда'!BK34)*'Вводные'!$B$59/12,0)</f>
        <v/>
      </c>
      <c r="BL35" s="47">
        <f>'CF_Аренда'!BL17*'Вводные'!$B$57+IF(AND('CF_Аренда'!BL31&gt;0,'CF_Аренда'!BK33=0),'CF_Аренда'!$B$31*'Вводные'!$B$58,0)+IF(AND('CF_Аренда'!BL32&gt;0,'CF_Аренда'!BK34=0),'CF_Аренда'!$B$32*'Вводные'!$B$58,0)+IF(AND('CF_Аренда'!BL33&gt;0,'СРОКИ'!BL10&lt;'СРОКИ'!$B$5),('CF_Аренда'!$B$31-'CF_Аренда'!BL33)*'Вводные'!$B$59/12,0)+IF(AND('CF_Аренда'!BL34&gt;0,'СРОКИ'!BL10&lt;='СРОКИ'!$B$6),('CF_Аренда'!$B$32-'CF_Аренда'!BL34)*'Вводные'!$B$59/12,0)</f>
        <v/>
      </c>
      <c r="BM35" s="47">
        <f>'CF_Аренда'!BM17*'Вводные'!$B$57+IF(AND('CF_Аренда'!BM31&gt;0,'CF_Аренда'!BL33=0),'CF_Аренда'!$B$31*'Вводные'!$B$58,0)+IF(AND('CF_Аренда'!BM32&gt;0,'CF_Аренда'!BL34=0),'CF_Аренда'!$B$32*'Вводные'!$B$58,0)+IF(AND('CF_Аренда'!BM33&gt;0,'СРОКИ'!BM10&lt;'СРОКИ'!$B$5),('CF_Аренда'!$B$31-'CF_Аренда'!BM33)*'Вводные'!$B$59/12,0)+IF(AND('CF_Аренда'!BM34&gt;0,'СРОКИ'!BM10&lt;='СРОКИ'!$B$6),('CF_Аренда'!$B$32-'CF_Аренда'!BM34)*'Вводные'!$B$59/12,0)</f>
        <v/>
      </c>
      <c r="BN35" s="47">
        <f>'CF_Аренда'!BN17*'Вводные'!$B$57+IF(AND('CF_Аренда'!BN31&gt;0,'CF_Аренда'!BM33=0),'CF_Аренда'!$B$31*'Вводные'!$B$58,0)+IF(AND('CF_Аренда'!BN32&gt;0,'CF_Аренда'!BM34=0),'CF_Аренда'!$B$32*'Вводные'!$B$58,0)+IF(AND('CF_Аренда'!BN33&gt;0,'СРОКИ'!BN10&lt;'СРОКИ'!$B$5),('CF_Аренда'!$B$31-'CF_Аренда'!BN33)*'Вводные'!$B$59/12,0)+IF(AND('CF_Аренда'!BN34&gt;0,'СРОКИ'!BN10&lt;='СРОКИ'!$B$6),('CF_Аренда'!$B$32-'CF_Аренда'!BN34)*'Вводные'!$B$59/12,0)</f>
        <v/>
      </c>
      <c r="BO35" s="47">
        <f>'CF_Аренда'!BO17*'Вводные'!$B$57+IF(AND('CF_Аренда'!BO31&gt;0,'CF_Аренда'!BN33=0),'CF_Аренда'!$B$31*'Вводные'!$B$58,0)+IF(AND('CF_Аренда'!BO32&gt;0,'CF_Аренда'!BN34=0),'CF_Аренда'!$B$32*'Вводные'!$B$58,0)+IF(AND('CF_Аренда'!BO33&gt;0,'СРОКИ'!BO10&lt;'СРОКИ'!$B$5),('CF_Аренда'!$B$31-'CF_Аренда'!BO33)*'Вводные'!$B$59/12,0)+IF(AND('CF_Аренда'!BO34&gt;0,'СРОКИ'!BO10&lt;='СРОКИ'!$B$6),('CF_Аренда'!$B$32-'CF_Аренда'!BO34)*'Вводные'!$B$59/12,0)</f>
        <v/>
      </c>
      <c r="BP35" s="47">
        <f>'CF_Аренда'!BP17*'Вводные'!$B$57+IF(AND('CF_Аренда'!BP31&gt;0,'CF_Аренда'!BO33=0),'CF_Аренда'!$B$31*'Вводные'!$B$58,0)+IF(AND('CF_Аренда'!BP32&gt;0,'CF_Аренда'!BO34=0),'CF_Аренда'!$B$32*'Вводные'!$B$58,0)+IF(AND('CF_Аренда'!BP33&gt;0,'СРОКИ'!BP10&lt;'СРОКИ'!$B$5),('CF_Аренда'!$B$31-'CF_Аренда'!BP33)*'Вводные'!$B$59/12,0)+IF(AND('CF_Аренда'!BP34&gt;0,'СРОКИ'!BP10&lt;='СРОКИ'!$B$6),('CF_Аренда'!$B$32-'CF_Аренда'!BP34)*'Вводные'!$B$59/12,0)</f>
        <v/>
      </c>
      <c r="BQ35" s="47">
        <f>'CF_Аренда'!BQ17*'Вводные'!$B$57+IF(AND('CF_Аренда'!BQ31&gt;0,'CF_Аренда'!BP33=0),'CF_Аренда'!$B$31*'Вводные'!$B$58,0)+IF(AND('CF_Аренда'!BQ32&gt;0,'CF_Аренда'!BP34=0),'CF_Аренда'!$B$32*'Вводные'!$B$58,0)+IF(AND('CF_Аренда'!BQ33&gt;0,'СРОКИ'!BQ10&lt;'СРОКИ'!$B$5),('CF_Аренда'!$B$31-'CF_Аренда'!BQ33)*'Вводные'!$B$59/12,0)+IF(AND('CF_Аренда'!BQ34&gt;0,'СРОКИ'!BQ10&lt;='СРОКИ'!$B$6),('CF_Аренда'!$B$32-'CF_Аренда'!BQ34)*'Вводные'!$B$59/12,0)</f>
        <v/>
      </c>
      <c r="BR35" s="47">
        <f>'CF_Аренда'!BR17*'Вводные'!$B$57+IF(AND('CF_Аренда'!BR31&gt;0,'CF_Аренда'!BQ33=0),'CF_Аренда'!$B$31*'Вводные'!$B$58,0)+IF(AND('CF_Аренда'!BR32&gt;0,'CF_Аренда'!BQ34=0),'CF_Аренда'!$B$32*'Вводные'!$B$58,0)+IF(AND('CF_Аренда'!BR33&gt;0,'СРОКИ'!BR10&lt;'СРОКИ'!$B$5),('CF_Аренда'!$B$31-'CF_Аренда'!BR33)*'Вводные'!$B$59/12,0)+IF(AND('CF_Аренда'!BR34&gt;0,'СРОКИ'!BR10&lt;='СРОКИ'!$B$6),('CF_Аренда'!$B$32-'CF_Аренда'!BR34)*'Вводные'!$B$59/12,0)</f>
        <v/>
      </c>
      <c r="BS35" s="47">
        <f>'CF_Аренда'!BS17*'Вводные'!$B$57+IF(AND('CF_Аренда'!BS31&gt;0,'CF_Аренда'!BR33=0),'CF_Аренда'!$B$31*'Вводные'!$B$58,0)+IF(AND('CF_Аренда'!BS32&gt;0,'CF_Аренда'!BR34=0),'CF_Аренда'!$B$32*'Вводные'!$B$58,0)+IF(AND('CF_Аренда'!BS33&gt;0,'СРОКИ'!BS10&lt;'СРОКИ'!$B$5),('CF_Аренда'!$B$31-'CF_Аренда'!BS33)*'Вводные'!$B$59/12,0)+IF(AND('CF_Аренда'!BS34&gt;0,'СРОКИ'!BS10&lt;='СРОКИ'!$B$6),('CF_Аренда'!$B$32-'CF_Аренда'!BS34)*'Вводные'!$B$59/12,0)</f>
        <v/>
      </c>
      <c r="BT35" s="47">
        <f>'CF_Аренда'!BT17*'Вводные'!$B$57+IF(AND('CF_Аренда'!BT31&gt;0,'CF_Аренда'!BS33=0),'CF_Аренда'!$B$31*'Вводные'!$B$58,0)+IF(AND('CF_Аренда'!BT32&gt;0,'CF_Аренда'!BS34=0),'CF_Аренда'!$B$32*'Вводные'!$B$58,0)+IF(AND('CF_Аренда'!BT33&gt;0,'СРОКИ'!BT10&lt;'СРОКИ'!$B$5),('CF_Аренда'!$B$31-'CF_Аренда'!BT33)*'Вводные'!$B$59/12,0)+IF(AND('CF_Аренда'!BT34&gt;0,'СРОКИ'!BT10&lt;='СРОКИ'!$B$6),('CF_Аренда'!$B$32-'CF_Аренда'!BT34)*'Вводные'!$B$59/12,0)</f>
        <v/>
      </c>
      <c r="BU35" s="47">
        <f>'CF_Аренда'!BU17*'Вводные'!$B$57+IF(AND('CF_Аренда'!BU31&gt;0,'CF_Аренда'!BT33=0),'CF_Аренда'!$B$31*'Вводные'!$B$58,0)+IF(AND('CF_Аренда'!BU32&gt;0,'CF_Аренда'!BT34=0),'CF_Аренда'!$B$32*'Вводные'!$B$58,0)+IF(AND('CF_Аренда'!BU33&gt;0,'СРОКИ'!BU10&lt;'СРОКИ'!$B$5),('CF_Аренда'!$B$31-'CF_Аренда'!BU33)*'Вводные'!$B$59/12,0)+IF(AND('CF_Аренда'!BU34&gt;0,'СРОКИ'!BU10&lt;='СРОКИ'!$B$6),('CF_Аренда'!$B$32-'CF_Аренда'!BU34)*'Вводные'!$B$59/12,0)</f>
        <v/>
      </c>
      <c r="BV35" s="47">
        <f>'CF_Аренда'!BV17*'Вводные'!$B$57+IF(AND('CF_Аренда'!BV31&gt;0,'CF_Аренда'!BU33=0),'CF_Аренда'!$B$31*'Вводные'!$B$58,0)+IF(AND('CF_Аренда'!BV32&gt;0,'CF_Аренда'!BU34=0),'CF_Аренда'!$B$32*'Вводные'!$B$58,0)+IF(AND('CF_Аренда'!BV33&gt;0,'СРОКИ'!BV10&lt;'СРОКИ'!$B$5),('CF_Аренда'!$B$31-'CF_Аренда'!BV33)*'Вводные'!$B$59/12,0)+IF(AND('CF_Аренда'!BV34&gt;0,'СРОКИ'!BV10&lt;='СРОКИ'!$B$6),('CF_Аренда'!$B$32-'CF_Аренда'!BV34)*'Вводные'!$B$59/12,0)</f>
        <v/>
      </c>
      <c r="BW35" s="47">
        <f>'CF_Аренда'!BW17*'Вводные'!$B$57+IF(AND('CF_Аренда'!BW31&gt;0,'CF_Аренда'!BV33=0),'CF_Аренда'!$B$31*'Вводные'!$B$58,0)+IF(AND('CF_Аренда'!BW32&gt;0,'CF_Аренда'!BV34=0),'CF_Аренда'!$B$32*'Вводные'!$B$58,0)+IF(AND('CF_Аренда'!BW33&gt;0,'СРОКИ'!BW10&lt;'СРОКИ'!$B$5),('CF_Аренда'!$B$31-'CF_Аренда'!BW33)*'Вводные'!$B$59/12,0)+IF(AND('CF_Аренда'!BW34&gt;0,'СРОКИ'!BW10&lt;='СРОКИ'!$B$6),('CF_Аренда'!$B$32-'CF_Аренда'!BW34)*'Вводные'!$B$59/12,0)</f>
        <v/>
      </c>
      <c r="BX35" s="47">
        <f>'CF_Аренда'!BX17*'Вводные'!$B$57+IF(AND('CF_Аренда'!BX31&gt;0,'CF_Аренда'!BW33=0),'CF_Аренда'!$B$31*'Вводные'!$B$58,0)+IF(AND('CF_Аренда'!BX32&gt;0,'CF_Аренда'!BW34=0),'CF_Аренда'!$B$32*'Вводные'!$B$58,0)+IF(AND('CF_Аренда'!BX33&gt;0,'СРОКИ'!BX10&lt;'СРОКИ'!$B$5),('CF_Аренда'!$B$31-'CF_Аренда'!BX33)*'Вводные'!$B$59/12,0)+IF(AND('CF_Аренда'!BX34&gt;0,'СРОКИ'!BX10&lt;='СРОКИ'!$B$6),('CF_Аренда'!$B$32-'CF_Аренда'!BX34)*'Вводные'!$B$59/12,0)</f>
        <v/>
      </c>
      <c r="BY35" s="47">
        <f>'CF_Аренда'!BY17*'Вводные'!$B$57+IF(AND('CF_Аренда'!BY31&gt;0,'CF_Аренда'!BX33=0),'CF_Аренда'!$B$31*'Вводные'!$B$58,0)+IF(AND('CF_Аренда'!BY32&gt;0,'CF_Аренда'!BX34=0),'CF_Аренда'!$B$32*'Вводные'!$B$58,0)+IF(AND('CF_Аренда'!BY33&gt;0,'СРОКИ'!BY10&lt;'СРОКИ'!$B$5),('CF_Аренда'!$B$31-'CF_Аренда'!BY33)*'Вводные'!$B$59/12,0)+IF(AND('CF_Аренда'!BY34&gt;0,'СРОКИ'!BY10&lt;='СРОКИ'!$B$6),('CF_Аренда'!$B$32-'CF_Аренда'!BY34)*'Вводные'!$B$59/12,0)</f>
        <v/>
      </c>
      <c r="BZ35" s="47">
        <f>'CF_Аренда'!BZ17*'Вводные'!$B$57+IF(AND('CF_Аренда'!BZ31&gt;0,'CF_Аренда'!BY33=0),'CF_Аренда'!$B$31*'Вводные'!$B$58,0)+IF(AND('CF_Аренда'!BZ32&gt;0,'CF_Аренда'!BY34=0),'CF_Аренда'!$B$32*'Вводные'!$B$58,0)+IF(AND('CF_Аренда'!BZ33&gt;0,'СРОКИ'!BZ10&lt;'СРОКИ'!$B$5),('CF_Аренда'!$B$31-'CF_Аренда'!BZ33)*'Вводные'!$B$59/12,0)+IF(AND('CF_Аренда'!BZ34&gt;0,'СРОКИ'!BZ10&lt;='СРОКИ'!$B$6),('CF_Аренда'!$B$32-'CF_Аренда'!BZ34)*'Вводные'!$B$59/12,0)</f>
        <v/>
      </c>
      <c r="CA35" s="47">
        <f>'CF_Аренда'!CA17*'Вводные'!$B$57+IF(AND('CF_Аренда'!CA31&gt;0,'CF_Аренда'!BZ33=0),'CF_Аренда'!$B$31*'Вводные'!$B$58,0)+IF(AND('CF_Аренда'!CA32&gt;0,'CF_Аренда'!BZ34=0),'CF_Аренда'!$B$32*'Вводные'!$B$58,0)+IF(AND('CF_Аренда'!CA33&gt;0,'СРОКИ'!CA10&lt;'СРОКИ'!$B$5),('CF_Аренда'!$B$31-'CF_Аренда'!CA33)*'Вводные'!$B$59/12,0)+IF(AND('CF_Аренда'!CA34&gt;0,'СРОКИ'!CA10&lt;='СРОКИ'!$B$6),('CF_Аренда'!$B$32-'CF_Аренда'!CA34)*'Вводные'!$B$59/12,0)</f>
        <v/>
      </c>
      <c r="CB35" s="47">
        <f>'CF_Аренда'!CB17*'Вводные'!$B$57+IF(AND('CF_Аренда'!CB31&gt;0,'CF_Аренда'!CA33=0),'CF_Аренда'!$B$31*'Вводные'!$B$58,0)+IF(AND('CF_Аренда'!CB32&gt;0,'CF_Аренда'!CA34=0),'CF_Аренда'!$B$32*'Вводные'!$B$58,0)+IF(AND('CF_Аренда'!CB33&gt;0,'СРОКИ'!CB10&lt;'СРОКИ'!$B$5),('CF_Аренда'!$B$31-'CF_Аренда'!CB33)*'Вводные'!$B$59/12,0)+IF(AND('CF_Аренда'!CB34&gt;0,'СРОКИ'!CB10&lt;='СРОКИ'!$B$6),('CF_Аренда'!$B$32-'CF_Аренда'!CB34)*'Вводные'!$B$59/12,0)</f>
        <v/>
      </c>
      <c r="CC35" s="47">
        <f>'CF_Аренда'!CC17*'Вводные'!$B$57+IF(AND('CF_Аренда'!CC31&gt;0,'CF_Аренда'!CB33=0),'CF_Аренда'!$B$31*'Вводные'!$B$58,0)+IF(AND('CF_Аренда'!CC32&gt;0,'CF_Аренда'!CB34=0),'CF_Аренда'!$B$32*'Вводные'!$B$58,0)+IF(AND('CF_Аренда'!CC33&gt;0,'СРОКИ'!CC10&lt;'СРОКИ'!$B$5),('CF_Аренда'!$B$31-'CF_Аренда'!CC33)*'Вводные'!$B$59/12,0)+IF(AND('CF_Аренда'!CC34&gt;0,'СРОКИ'!CC10&lt;='СРОКИ'!$B$6),('CF_Аренда'!$B$32-'CF_Аренда'!CC34)*'Вводные'!$B$59/12,0)</f>
        <v/>
      </c>
      <c r="CD35" s="47">
        <f>'CF_Аренда'!CD17*'Вводные'!$B$57+IF(AND('CF_Аренда'!CD31&gt;0,'CF_Аренда'!CC33=0),'CF_Аренда'!$B$31*'Вводные'!$B$58,0)+IF(AND('CF_Аренда'!CD32&gt;0,'CF_Аренда'!CC34=0),'CF_Аренда'!$B$32*'Вводные'!$B$58,0)+IF(AND('CF_Аренда'!CD33&gt;0,'СРОКИ'!CD10&lt;'СРОКИ'!$B$5),('CF_Аренда'!$B$31-'CF_Аренда'!CD33)*'Вводные'!$B$59/12,0)+IF(AND('CF_Аренда'!CD34&gt;0,'СРОКИ'!CD10&lt;='СРОКИ'!$B$6),('CF_Аренда'!$B$32-'CF_Аренда'!CD34)*'Вводные'!$B$59/12,0)</f>
        <v/>
      </c>
      <c r="CE35" s="47">
        <f>'CF_Аренда'!CE17*'Вводные'!$B$57+IF(AND('CF_Аренда'!CE31&gt;0,'CF_Аренда'!CD33=0),'CF_Аренда'!$B$31*'Вводные'!$B$58,0)+IF(AND('CF_Аренда'!CE32&gt;0,'CF_Аренда'!CD34=0),'CF_Аренда'!$B$32*'Вводные'!$B$58,0)+IF(AND('CF_Аренда'!CE33&gt;0,'СРОКИ'!CE10&lt;'СРОКИ'!$B$5),('CF_Аренда'!$B$31-'CF_Аренда'!CE33)*'Вводные'!$B$59/12,0)+IF(AND('CF_Аренда'!CE34&gt;0,'СРОКИ'!CE10&lt;='СРОКИ'!$B$6),('CF_Аренда'!$B$32-'CF_Аренда'!CE34)*'Вводные'!$B$59/12,0)</f>
        <v/>
      </c>
      <c r="CF35" s="47">
        <f>'CF_Аренда'!CF17*'Вводные'!$B$57+IF(AND('CF_Аренда'!CF31&gt;0,'CF_Аренда'!CE33=0),'CF_Аренда'!$B$31*'Вводные'!$B$58,0)+IF(AND('CF_Аренда'!CF32&gt;0,'CF_Аренда'!CE34=0),'CF_Аренда'!$B$32*'Вводные'!$B$58,0)+IF(AND('CF_Аренда'!CF33&gt;0,'СРОКИ'!CF10&lt;'СРОКИ'!$B$5),('CF_Аренда'!$B$31-'CF_Аренда'!CF33)*'Вводные'!$B$59/12,0)+IF(AND('CF_Аренда'!CF34&gt;0,'СРОКИ'!CF10&lt;='СРОКИ'!$B$6),('CF_Аренда'!$B$32-'CF_Аренда'!CF34)*'Вводные'!$B$59/12,0)</f>
        <v/>
      </c>
      <c r="CG35" s="47">
        <f>'CF_Аренда'!CG17*'Вводные'!$B$57+IF(AND('CF_Аренда'!CG31&gt;0,'CF_Аренда'!CF33=0),'CF_Аренда'!$B$31*'Вводные'!$B$58,0)+IF(AND('CF_Аренда'!CG32&gt;0,'CF_Аренда'!CF34=0),'CF_Аренда'!$B$32*'Вводные'!$B$58,0)+IF(AND('CF_Аренда'!CG33&gt;0,'СРОКИ'!CG10&lt;'СРОКИ'!$B$5),('CF_Аренда'!$B$31-'CF_Аренда'!CG33)*'Вводные'!$B$59/12,0)+IF(AND('CF_Аренда'!CG34&gt;0,'СРОКИ'!CG10&lt;='СРОКИ'!$B$6),('CF_Аренда'!$B$32-'CF_Аренда'!CG34)*'Вводные'!$B$59/12,0)</f>
        <v/>
      </c>
      <c r="CH35" s="47">
        <f>'CF_Аренда'!CH17*'Вводные'!$B$57+IF(AND('CF_Аренда'!CH31&gt;0,'CF_Аренда'!CG33=0),'CF_Аренда'!$B$31*'Вводные'!$B$58,0)+IF(AND('CF_Аренда'!CH32&gt;0,'CF_Аренда'!CG34=0),'CF_Аренда'!$B$32*'Вводные'!$B$58,0)+IF(AND('CF_Аренда'!CH33&gt;0,'СРОКИ'!CH10&lt;'СРОКИ'!$B$5),('CF_Аренда'!$B$31-'CF_Аренда'!CH33)*'Вводные'!$B$59/12,0)+IF(AND('CF_Аренда'!CH34&gt;0,'СРОКИ'!CH10&lt;='СРОКИ'!$B$6),('CF_Аренда'!$B$32-'CF_Аренда'!CH34)*'Вводные'!$B$59/12,0)</f>
        <v/>
      </c>
      <c r="CI35" s="47">
        <f>'CF_Аренда'!CI17*'Вводные'!$B$57+IF(AND('CF_Аренда'!CI31&gt;0,'CF_Аренда'!CH33=0),'CF_Аренда'!$B$31*'Вводные'!$B$58,0)+IF(AND('CF_Аренда'!CI32&gt;0,'CF_Аренда'!CH34=0),'CF_Аренда'!$B$32*'Вводные'!$B$58,0)+IF(AND('CF_Аренда'!CI33&gt;0,'СРОКИ'!CI10&lt;'СРОКИ'!$B$5),('CF_Аренда'!$B$31-'CF_Аренда'!CI33)*'Вводные'!$B$59/12,0)+IF(AND('CF_Аренда'!CI34&gt;0,'СРОКИ'!CI10&lt;='СРОКИ'!$B$6),('CF_Аренда'!$B$32-'CF_Аренда'!CI34)*'Вводные'!$B$59/12,0)</f>
        <v/>
      </c>
      <c r="CJ35" s="47">
        <f>'CF_Аренда'!CJ17*'Вводные'!$B$57+IF(AND('CF_Аренда'!CJ31&gt;0,'CF_Аренда'!CI33=0),'CF_Аренда'!$B$31*'Вводные'!$B$58,0)+IF(AND('CF_Аренда'!CJ32&gt;0,'CF_Аренда'!CI34=0),'CF_Аренда'!$B$32*'Вводные'!$B$58,0)+IF(AND('CF_Аренда'!CJ33&gt;0,'СРОКИ'!CJ10&lt;'СРОКИ'!$B$5),('CF_Аренда'!$B$31-'CF_Аренда'!CJ33)*'Вводные'!$B$59/12,0)+IF(AND('CF_Аренда'!CJ34&gt;0,'СРОКИ'!CJ10&lt;='СРОКИ'!$B$6),('CF_Аренда'!$B$32-'CF_Аренда'!CJ34)*'Вводные'!$B$59/12,0)</f>
        <v/>
      </c>
      <c r="CK35" s="47">
        <f>'CF_Аренда'!CK17*'Вводные'!$B$57+IF(AND('CF_Аренда'!CK31&gt;0,'CF_Аренда'!CJ33=0),'CF_Аренда'!$B$31*'Вводные'!$B$58,0)+IF(AND('CF_Аренда'!CK32&gt;0,'CF_Аренда'!CJ34=0),'CF_Аренда'!$B$32*'Вводные'!$B$58,0)+IF(AND('CF_Аренда'!CK33&gt;0,'СРОКИ'!CK10&lt;'СРОКИ'!$B$5),('CF_Аренда'!$B$31-'CF_Аренда'!CK33)*'Вводные'!$B$59/12,0)+IF(AND('CF_Аренда'!CK34&gt;0,'СРОКИ'!CK10&lt;='СРОКИ'!$B$6),('CF_Аренда'!$B$32-'CF_Аренда'!CK34)*'Вводные'!$B$59/12,0)</f>
        <v/>
      </c>
      <c r="CL35" s="47">
        <f>'CF_Аренда'!CL17*'Вводные'!$B$57+IF(AND('CF_Аренда'!CL31&gt;0,'CF_Аренда'!CK33=0),'CF_Аренда'!$B$31*'Вводные'!$B$58,0)+IF(AND('CF_Аренда'!CL32&gt;0,'CF_Аренда'!CK34=0),'CF_Аренда'!$B$32*'Вводные'!$B$58,0)+IF(AND('CF_Аренда'!CL33&gt;0,'СРОКИ'!CL10&lt;'СРОКИ'!$B$5),('CF_Аренда'!$B$31-'CF_Аренда'!CL33)*'Вводные'!$B$59/12,0)+IF(AND('CF_Аренда'!CL34&gt;0,'СРОКИ'!CL10&lt;='СРОКИ'!$B$6),('CF_Аренда'!$B$32-'CF_Аренда'!CL34)*'Вводные'!$B$59/12,0)</f>
        <v/>
      </c>
      <c r="CM35" s="47">
        <f>'CF_Аренда'!CM17*'Вводные'!$B$57+IF(AND('CF_Аренда'!CM31&gt;0,'CF_Аренда'!CL33=0),'CF_Аренда'!$B$31*'Вводные'!$B$58,0)+IF(AND('CF_Аренда'!CM32&gt;0,'CF_Аренда'!CL34=0),'CF_Аренда'!$B$32*'Вводные'!$B$58,0)+IF(AND('CF_Аренда'!CM33&gt;0,'СРОКИ'!CM10&lt;'СРОКИ'!$B$5),('CF_Аренда'!$B$31-'CF_Аренда'!CM33)*'Вводные'!$B$59/12,0)+IF(AND('CF_Аренда'!CM34&gt;0,'СРОКИ'!CM10&lt;='СРОКИ'!$B$6),('CF_Аренда'!$B$32-'CF_Аренда'!CM34)*'Вводные'!$B$59/12,0)</f>
        <v/>
      </c>
      <c r="CN35" s="47">
        <f>'CF_Аренда'!CN17*'Вводные'!$B$57+IF(AND('CF_Аренда'!CN31&gt;0,'CF_Аренда'!CM33=0),'CF_Аренда'!$B$31*'Вводные'!$B$58,0)+IF(AND('CF_Аренда'!CN32&gt;0,'CF_Аренда'!CM34=0),'CF_Аренда'!$B$32*'Вводные'!$B$58,0)+IF(AND('CF_Аренда'!CN33&gt;0,'СРОКИ'!CN10&lt;'СРОКИ'!$B$5),('CF_Аренда'!$B$31-'CF_Аренда'!CN33)*'Вводные'!$B$59/12,0)+IF(AND('CF_Аренда'!CN34&gt;0,'СРОКИ'!CN10&lt;='СРОКИ'!$B$6),('CF_Аренда'!$B$32-'CF_Аренда'!CN34)*'Вводные'!$B$59/12,0)</f>
        <v/>
      </c>
      <c r="CO35" s="47">
        <f>'CF_Аренда'!CO17*'Вводные'!$B$57+IF(AND('CF_Аренда'!CO31&gt;0,'CF_Аренда'!CN33=0),'CF_Аренда'!$B$31*'Вводные'!$B$58,0)+IF(AND('CF_Аренда'!CO32&gt;0,'CF_Аренда'!CN34=0),'CF_Аренда'!$B$32*'Вводные'!$B$58,0)+IF(AND('CF_Аренда'!CO33&gt;0,'СРОКИ'!CO10&lt;'СРОКИ'!$B$5),('CF_Аренда'!$B$31-'CF_Аренда'!CO33)*'Вводные'!$B$59/12,0)+IF(AND('CF_Аренда'!CO34&gt;0,'СРОКИ'!CO10&lt;='СРОКИ'!$B$6),('CF_Аренда'!$B$32-'CF_Аренда'!CO34)*'Вводные'!$B$59/12,0)</f>
        <v/>
      </c>
      <c r="CP35" s="47">
        <f>'CF_Аренда'!CP17*'Вводные'!$B$57+IF(AND('CF_Аренда'!CP31&gt;0,'CF_Аренда'!CO33=0),'CF_Аренда'!$B$31*'Вводные'!$B$58,0)+IF(AND('CF_Аренда'!CP32&gt;0,'CF_Аренда'!CO34=0),'CF_Аренда'!$B$32*'Вводные'!$B$58,0)+IF(AND('CF_Аренда'!CP33&gt;0,'СРОКИ'!CP10&lt;'СРОКИ'!$B$5),('CF_Аренда'!$B$31-'CF_Аренда'!CP33)*'Вводные'!$B$59/12,0)+IF(AND('CF_Аренда'!CP34&gt;0,'СРОКИ'!CP10&lt;='СРОКИ'!$B$6),('CF_Аренда'!$B$32-'CF_Аренда'!CP34)*'Вводные'!$B$59/12,0)</f>
        <v/>
      </c>
      <c r="CQ35" s="47">
        <f>'CF_Аренда'!CQ17*'Вводные'!$B$57+IF(AND('CF_Аренда'!CQ31&gt;0,'CF_Аренда'!CP33=0),'CF_Аренда'!$B$31*'Вводные'!$B$58,0)+IF(AND('CF_Аренда'!CQ32&gt;0,'CF_Аренда'!CP34=0),'CF_Аренда'!$B$32*'Вводные'!$B$58,0)+IF(AND('CF_Аренда'!CQ33&gt;0,'СРОКИ'!CQ10&lt;'СРОКИ'!$B$5),('CF_Аренда'!$B$31-'CF_Аренда'!CQ33)*'Вводные'!$B$59/12,0)+IF(AND('CF_Аренда'!CQ34&gt;0,'СРОКИ'!CQ10&lt;='СРОКИ'!$B$6),('CF_Аренда'!$B$32-'CF_Аренда'!CQ34)*'Вводные'!$B$59/12,0)</f>
        <v/>
      </c>
      <c r="CR35" s="47">
        <f>'CF_Аренда'!CR17*'Вводные'!$B$57+IF(AND('CF_Аренда'!CR31&gt;0,'CF_Аренда'!CQ33=0),'CF_Аренда'!$B$31*'Вводные'!$B$58,0)+IF(AND('CF_Аренда'!CR32&gt;0,'CF_Аренда'!CQ34=0),'CF_Аренда'!$B$32*'Вводные'!$B$58,0)+IF(AND('CF_Аренда'!CR33&gt;0,'СРОКИ'!CR10&lt;'СРОКИ'!$B$5),('CF_Аренда'!$B$31-'CF_Аренда'!CR33)*'Вводные'!$B$59/12,0)+IF(AND('CF_Аренда'!CR34&gt;0,'СРОКИ'!CR10&lt;='СРОКИ'!$B$6),('CF_Аренда'!$B$32-'CF_Аренда'!CR34)*'Вводные'!$B$59/12,0)</f>
        <v/>
      </c>
      <c r="CS35" s="47">
        <f>'CF_Аренда'!CS17*'Вводные'!$B$57+IF(AND('CF_Аренда'!CS31&gt;0,'CF_Аренда'!CR33=0),'CF_Аренда'!$B$31*'Вводные'!$B$58,0)+IF(AND('CF_Аренда'!CS32&gt;0,'CF_Аренда'!CR34=0),'CF_Аренда'!$B$32*'Вводные'!$B$58,0)+IF(AND('CF_Аренда'!CS33&gt;0,'СРОКИ'!CS10&lt;'СРОКИ'!$B$5),('CF_Аренда'!$B$31-'CF_Аренда'!CS33)*'Вводные'!$B$59/12,0)+IF(AND('CF_Аренда'!CS34&gt;0,'СРОКИ'!CS10&lt;='СРОКИ'!$B$6),('CF_Аренда'!$B$32-'CF_Аренда'!CS34)*'Вводные'!$B$59/12,0)</f>
        <v/>
      </c>
      <c r="CT35" s="47">
        <f>'CF_Аренда'!CT17*'Вводные'!$B$57+IF(AND('CF_Аренда'!CT31&gt;0,'CF_Аренда'!CS33=0),'CF_Аренда'!$B$31*'Вводные'!$B$58,0)+IF(AND('CF_Аренда'!CT32&gt;0,'CF_Аренда'!CS34=0),'CF_Аренда'!$B$32*'Вводные'!$B$58,0)+IF(AND('CF_Аренда'!CT33&gt;0,'СРОКИ'!CT10&lt;'СРОКИ'!$B$5),('CF_Аренда'!$B$31-'CF_Аренда'!CT33)*'Вводные'!$B$59/12,0)+IF(AND('CF_Аренда'!CT34&gt;0,'СРОКИ'!CT10&lt;='СРОКИ'!$B$6),('CF_Аренда'!$B$32-'CF_Аренда'!CT34)*'Вводные'!$B$59/12,0)</f>
        <v/>
      </c>
      <c r="CU35" s="47">
        <f>'CF_Аренда'!CU17*'Вводные'!$B$57+IF(AND('CF_Аренда'!CU31&gt;0,'CF_Аренда'!CT33=0),'CF_Аренда'!$B$31*'Вводные'!$B$58,0)+IF(AND('CF_Аренда'!CU32&gt;0,'CF_Аренда'!CT34=0),'CF_Аренда'!$B$32*'Вводные'!$B$58,0)+IF(AND('CF_Аренда'!CU33&gt;0,'СРОКИ'!CU10&lt;'СРОКИ'!$B$5),('CF_Аренда'!$B$31-'CF_Аренда'!CU33)*'Вводные'!$B$59/12,0)+IF(AND('CF_Аренда'!CU34&gt;0,'СРОКИ'!CU10&lt;='СРОКИ'!$B$6),('CF_Аренда'!$B$32-'CF_Аренда'!CU34)*'Вводные'!$B$59/12,0)</f>
        <v/>
      </c>
      <c r="CV35" s="47">
        <f>'CF_Аренда'!CV17*'Вводные'!$B$57+IF(AND('CF_Аренда'!CV31&gt;0,'CF_Аренда'!CU33=0),'CF_Аренда'!$B$31*'Вводные'!$B$58,0)+IF(AND('CF_Аренда'!CV32&gt;0,'CF_Аренда'!CU34=0),'CF_Аренда'!$B$32*'Вводные'!$B$58,0)+IF(AND('CF_Аренда'!CV33&gt;0,'СРОКИ'!CV10&lt;'СРОКИ'!$B$5),('CF_Аренда'!$B$31-'CF_Аренда'!CV33)*'Вводные'!$B$59/12,0)+IF(AND('CF_Аренда'!CV34&gt;0,'СРОКИ'!CV10&lt;='СРОКИ'!$B$6),('CF_Аренда'!$B$32-'CF_Аренда'!CV34)*'Вводные'!$B$59/12,0)</f>
        <v/>
      </c>
      <c r="CW35" s="47">
        <f>'CF_Аренда'!CW17*'Вводные'!$B$57+IF(AND('CF_Аренда'!CW31&gt;0,'CF_Аренда'!CV33=0),'CF_Аренда'!$B$31*'Вводные'!$B$58,0)+IF(AND('CF_Аренда'!CW32&gt;0,'CF_Аренда'!CV34=0),'CF_Аренда'!$B$32*'Вводные'!$B$58,0)+IF(AND('CF_Аренда'!CW33&gt;0,'СРОКИ'!CW10&lt;'СРОКИ'!$B$5),('CF_Аренда'!$B$31-'CF_Аренда'!CW33)*'Вводные'!$B$59/12,0)+IF(AND('CF_Аренда'!CW34&gt;0,'СРОКИ'!CW10&lt;='СРОКИ'!$B$6),('CF_Аренда'!$B$32-'CF_Аренда'!CW34)*'Вводные'!$B$59/12,0)</f>
        <v/>
      </c>
      <c r="CX35" s="47">
        <f>'CF_Аренда'!CX17*'Вводные'!$B$57+IF(AND('CF_Аренда'!CX31&gt;0,'CF_Аренда'!CW33=0),'CF_Аренда'!$B$31*'Вводные'!$B$58,0)+IF(AND('CF_Аренда'!CX32&gt;0,'CF_Аренда'!CW34=0),'CF_Аренда'!$B$32*'Вводные'!$B$58,0)+IF(AND('CF_Аренда'!CX33&gt;0,'СРОКИ'!CX10&lt;'СРОКИ'!$B$5),('CF_Аренда'!$B$31-'CF_Аренда'!CX33)*'Вводные'!$B$59/12,0)+IF(AND('CF_Аренда'!CX34&gt;0,'СРОКИ'!CX10&lt;='СРОКИ'!$B$6),('CF_Аренда'!$B$32-'CF_Аренда'!CX34)*'Вводные'!$B$59/12,0)</f>
        <v/>
      </c>
      <c r="CY35" s="47">
        <f>'CF_Аренда'!CY17*'Вводные'!$B$57+IF(AND('CF_Аренда'!CY31&gt;0,'CF_Аренда'!CX33=0),'CF_Аренда'!$B$31*'Вводные'!$B$58,0)+IF(AND('CF_Аренда'!CY32&gt;0,'CF_Аренда'!CX34=0),'CF_Аренда'!$B$32*'Вводные'!$B$58,0)+IF(AND('CF_Аренда'!CY33&gt;0,'СРОКИ'!CY10&lt;'СРОКИ'!$B$5),('CF_Аренда'!$B$31-'CF_Аренда'!CY33)*'Вводные'!$B$59/12,0)+IF(AND('CF_Аренда'!CY34&gt;0,'СРОКИ'!CY10&lt;='СРОКИ'!$B$6),('CF_Аренда'!$B$32-'CF_Аренда'!CY34)*'Вводные'!$B$59/12,0)</f>
        <v/>
      </c>
      <c r="CZ35" s="47">
        <f>'CF_Аренда'!CZ17*'Вводные'!$B$57+IF(AND('CF_Аренда'!CZ31&gt;0,'CF_Аренда'!CY33=0),'CF_Аренда'!$B$31*'Вводные'!$B$58,0)+IF(AND('CF_Аренда'!CZ32&gt;0,'CF_Аренда'!CY34=0),'CF_Аренда'!$B$32*'Вводные'!$B$58,0)+IF(AND('CF_Аренда'!CZ33&gt;0,'СРОКИ'!CZ10&lt;'СРОКИ'!$B$5),('CF_Аренда'!$B$31-'CF_Аренда'!CZ33)*'Вводные'!$B$59/12,0)+IF(AND('CF_Аренда'!CZ34&gt;0,'СРОКИ'!CZ10&lt;='СРОКИ'!$B$6),('CF_Аренда'!$B$32-'CF_Аренда'!CZ34)*'Вводные'!$B$59/12,0)</f>
        <v/>
      </c>
      <c r="DA35" s="47">
        <f>'CF_Аренда'!DA17*'Вводные'!$B$57+IF(AND('CF_Аренда'!DA31&gt;0,'CF_Аренда'!CZ33=0),'CF_Аренда'!$B$31*'Вводные'!$B$58,0)+IF(AND('CF_Аренда'!DA32&gt;0,'CF_Аренда'!CZ34=0),'CF_Аренда'!$B$32*'Вводные'!$B$58,0)+IF(AND('CF_Аренда'!DA33&gt;0,'СРОКИ'!DA10&lt;'СРОКИ'!$B$5),('CF_Аренда'!$B$31-'CF_Аренда'!DA33)*'Вводные'!$B$59/12,0)+IF(AND('CF_Аренда'!DA34&gt;0,'СРОКИ'!DA10&lt;='СРОКИ'!$B$6),('CF_Аренда'!$B$32-'CF_Аренда'!DA34)*'Вводные'!$B$59/12,0)</f>
        <v/>
      </c>
      <c r="DB35" s="47">
        <f>'CF_Аренда'!DB17*'Вводные'!$B$57+IF(AND('CF_Аренда'!DB31&gt;0,'CF_Аренда'!DA33=0),'CF_Аренда'!$B$31*'Вводные'!$B$58,0)+IF(AND('CF_Аренда'!DB32&gt;0,'CF_Аренда'!DA34=0),'CF_Аренда'!$B$32*'Вводные'!$B$58,0)+IF(AND('CF_Аренда'!DB33&gt;0,'СРОКИ'!DB10&lt;'СРОКИ'!$B$5),('CF_Аренда'!$B$31-'CF_Аренда'!DB33)*'Вводные'!$B$59/12,0)+IF(AND('CF_Аренда'!DB34&gt;0,'СРОКИ'!DB10&lt;='СРОКИ'!$B$6),('CF_Аренда'!$B$32-'CF_Аренда'!DB34)*'Вводные'!$B$59/12,0)</f>
        <v/>
      </c>
      <c r="DC35" s="47">
        <f>'CF_Аренда'!DC17*'Вводные'!$B$57+IF(AND('CF_Аренда'!DC31&gt;0,'CF_Аренда'!DB33=0),'CF_Аренда'!$B$31*'Вводные'!$B$58,0)+IF(AND('CF_Аренда'!DC32&gt;0,'CF_Аренда'!DB34=0),'CF_Аренда'!$B$32*'Вводные'!$B$58,0)+IF(AND('CF_Аренда'!DC33&gt;0,'СРОКИ'!DC10&lt;'СРОКИ'!$B$5),('CF_Аренда'!$B$31-'CF_Аренда'!DC33)*'Вводные'!$B$59/12,0)+IF(AND('CF_Аренда'!DC34&gt;0,'СРОКИ'!DC10&lt;='СРОКИ'!$B$6),('CF_Аренда'!$B$32-'CF_Аренда'!DC34)*'Вводные'!$B$59/12,0)</f>
        <v/>
      </c>
      <c r="DD35" s="47">
        <f>'CF_Аренда'!DD17*'Вводные'!$B$57+IF(AND('CF_Аренда'!DD31&gt;0,'CF_Аренда'!DC33=0),'CF_Аренда'!$B$31*'Вводные'!$B$58,0)+IF(AND('CF_Аренда'!DD32&gt;0,'CF_Аренда'!DC34=0),'CF_Аренда'!$B$32*'Вводные'!$B$58,0)+IF(AND('CF_Аренда'!DD33&gt;0,'СРОКИ'!DD10&lt;'СРОКИ'!$B$5),('CF_Аренда'!$B$31-'CF_Аренда'!DD33)*'Вводные'!$B$59/12,0)+IF(AND('CF_Аренда'!DD34&gt;0,'СРОКИ'!DD10&lt;='СРОКИ'!$B$6),('CF_Аренда'!$B$32-'CF_Аренда'!DD34)*'Вводные'!$B$59/12,0)</f>
        <v/>
      </c>
      <c r="DE35" s="47">
        <f>'CF_Аренда'!DE17*'Вводные'!$B$57+IF(AND('CF_Аренда'!DE31&gt;0,'CF_Аренда'!DD33=0),'CF_Аренда'!$B$31*'Вводные'!$B$58,0)+IF(AND('CF_Аренда'!DE32&gt;0,'CF_Аренда'!DD34=0),'CF_Аренда'!$B$32*'Вводные'!$B$58,0)+IF(AND('CF_Аренда'!DE33&gt;0,'СРОКИ'!DE10&lt;'СРОКИ'!$B$5),('CF_Аренда'!$B$31-'CF_Аренда'!DE33)*'Вводные'!$B$59/12,0)+IF(AND('CF_Аренда'!DE34&gt;0,'СРОКИ'!DE10&lt;='СРОКИ'!$B$6),('CF_Аренда'!$B$32-'CF_Аренда'!DE34)*'Вводные'!$B$59/12,0)</f>
        <v/>
      </c>
      <c r="DF35" s="47">
        <f>'CF_Аренда'!DF17*'Вводные'!$B$57+IF(AND('CF_Аренда'!DF31&gt;0,'CF_Аренда'!DE33=0),'CF_Аренда'!$B$31*'Вводные'!$B$58,0)+IF(AND('CF_Аренда'!DF32&gt;0,'CF_Аренда'!DE34=0),'CF_Аренда'!$B$32*'Вводные'!$B$58,0)+IF(AND('CF_Аренда'!DF33&gt;0,'СРОКИ'!DF10&lt;'СРОКИ'!$B$5),('CF_Аренда'!$B$31-'CF_Аренда'!DF33)*'Вводные'!$B$59/12,0)+IF(AND('CF_Аренда'!DF34&gt;0,'СРОКИ'!DF10&lt;='СРОКИ'!$B$6),('CF_Аренда'!$B$32-'CF_Аренда'!DF34)*'Вводные'!$B$59/12,0)</f>
        <v/>
      </c>
      <c r="DG35" s="47">
        <f>'CF_Аренда'!DG17*'Вводные'!$B$57+IF(AND('CF_Аренда'!DG31&gt;0,'CF_Аренда'!DF33=0),'CF_Аренда'!$B$31*'Вводные'!$B$58,0)+IF(AND('CF_Аренда'!DG32&gt;0,'CF_Аренда'!DF34=0),'CF_Аренда'!$B$32*'Вводные'!$B$58,0)+IF(AND('CF_Аренда'!DG33&gt;0,'СРОКИ'!DG10&lt;'СРОКИ'!$B$5),('CF_Аренда'!$B$31-'CF_Аренда'!DG33)*'Вводные'!$B$59/12,0)+IF(AND('CF_Аренда'!DG34&gt;0,'СРОКИ'!DG10&lt;='СРОКИ'!$B$6),('CF_Аренда'!$B$32-'CF_Аренда'!DG34)*'Вводные'!$B$59/12,0)</f>
        <v/>
      </c>
      <c r="DH35" s="47">
        <f>'CF_Аренда'!DH17*'Вводные'!$B$57+IF(AND('CF_Аренда'!DH31&gt;0,'CF_Аренда'!DG33=0),'CF_Аренда'!$B$31*'Вводные'!$B$58,0)+IF(AND('CF_Аренда'!DH32&gt;0,'CF_Аренда'!DG34=0),'CF_Аренда'!$B$32*'Вводные'!$B$58,0)+IF(AND('CF_Аренда'!DH33&gt;0,'СРОКИ'!DH10&lt;'СРОКИ'!$B$5),('CF_Аренда'!$B$31-'CF_Аренда'!DH33)*'Вводные'!$B$59/12,0)+IF(AND('CF_Аренда'!DH34&gt;0,'СРОКИ'!DH10&lt;='СРОКИ'!$B$6),('CF_Аренда'!$B$32-'CF_Аренда'!DH34)*'Вводные'!$B$59/12,0)</f>
        <v/>
      </c>
      <c r="DI35" s="47">
        <f>'CF_Аренда'!DI17*'Вводные'!$B$57+IF(AND('CF_Аренда'!DI31&gt;0,'CF_Аренда'!DH33=0),'CF_Аренда'!$B$31*'Вводные'!$B$58,0)+IF(AND('CF_Аренда'!DI32&gt;0,'CF_Аренда'!DH34=0),'CF_Аренда'!$B$32*'Вводные'!$B$58,0)+IF(AND('CF_Аренда'!DI33&gt;0,'СРОКИ'!DI10&lt;'СРОКИ'!$B$5),('CF_Аренда'!$B$31-'CF_Аренда'!DI33)*'Вводные'!$B$59/12,0)+IF(AND('CF_Аренда'!DI34&gt;0,'СРОКИ'!DI10&lt;='СРОКИ'!$B$6),('CF_Аренда'!$B$32-'CF_Аренда'!DI34)*'Вводные'!$B$59/12,0)</f>
        <v/>
      </c>
      <c r="DJ35" s="47">
        <f>'CF_Аренда'!DJ17*'Вводные'!$B$57+IF(AND('CF_Аренда'!DJ31&gt;0,'CF_Аренда'!DI33=0),'CF_Аренда'!$B$31*'Вводные'!$B$58,0)+IF(AND('CF_Аренда'!DJ32&gt;0,'CF_Аренда'!DI34=0),'CF_Аренда'!$B$32*'Вводные'!$B$58,0)+IF(AND('CF_Аренда'!DJ33&gt;0,'СРОКИ'!DJ10&lt;'СРОКИ'!$B$5),('CF_Аренда'!$B$31-'CF_Аренда'!DJ33)*'Вводные'!$B$59/12,0)+IF(AND('CF_Аренда'!DJ34&gt;0,'СРОКИ'!DJ10&lt;='СРОКИ'!$B$6),('CF_Аренда'!$B$32-'CF_Аренда'!DJ34)*'Вводные'!$B$59/12,0)</f>
        <v/>
      </c>
      <c r="DK35" s="47">
        <f>'CF_Аренда'!DK17*'Вводные'!$B$57+IF(AND('CF_Аренда'!DK31&gt;0,'CF_Аренда'!DJ33=0),'CF_Аренда'!$B$31*'Вводные'!$B$58,0)+IF(AND('CF_Аренда'!DK32&gt;0,'CF_Аренда'!DJ34=0),'CF_Аренда'!$B$32*'Вводные'!$B$58,0)+IF(AND('CF_Аренда'!DK33&gt;0,'СРОКИ'!DK10&lt;'СРОКИ'!$B$5),('CF_Аренда'!$B$31-'CF_Аренда'!DK33)*'Вводные'!$B$59/12,0)+IF(AND('CF_Аренда'!DK34&gt;0,'СРОКИ'!DK10&lt;='СРОКИ'!$B$6),('CF_Аренда'!$B$32-'CF_Аренда'!DK34)*'Вводные'!$B$59/12,0)</f>
        <v/>
      </c>
      <c r="DL35" s="47">
        <f>'CF_Аренда'!DL17*'Вводные'!$B$57+IF(AND('CF_Аренда'!DL31&gt;0,'CF_Аренда'!DK33=0),'CF_Аренда'!$B$31*'Вводные'!$B$58,0)+IF(AND('CF_Аренда'!DL32&gt;0,'CF_Аренда'!DK34=0),'CF_Аренда'!$B$32*'Вводные'!$B$58,0)+IF(AND('CF_Аренда'!DL33&gt;0,'СРОКИ'!DL10&lt;'СРОКИ'!$B$5),('CF_Аренда'!$B$31-'CF_Аренда'!DL33)*'Вводные'!$B$59/12,0)+IF(AND('CF_Аренда'!DL34&gt;0,'СРОКИ'!DL10&lt;='СРОКИ'!$B$6),('CF_Аренда'!$B$32-'CF_Аренда'!DL34)*'Вводные'!$B$59/12,0)</f>
        <v/>
      </c>
      <c r="DM35" s="47">
        <f>'CF_Аренда'!DM17*'Вводные'!$B$57+IF(AND('CF_Аренда'!DM31&gt;0,'CF_Аренда'!DL33=0),'CF_Аренда'!$B$31*'Вводные'!$B$58,0)+IF(AND('CF_Аренда'!DM32&gt;0,'CF_Аренда'!DL34=0),'CF_Аренда'!$B$32*'Вводные'!$B$58,0)+IF(AND('CF_Аренда'!DM33&gt;0,'СРОКИ'!DM10&lt;'СРОКИ'!$B$5),('CF_Аренда'!$B$31-'CF_Аренда'!DM33)*'Вводные'!$B$59/12,0)+IF(AND('CF_Аренда'!DM34&gt;0,'СРОКИ'!DM10&lt;='СРОКИ'!$B$6),('CF_Аренда'!$B$32-'CF_Аренда'!DM34)*'Вводные'!$B$59/12,0)</f>
        <v/>
      </c>
    </row>
    <row r="37">
      <c r="A37" s="17" t="inlineStr">
        <is>
          <t>Деньги собственника</t>
        </is>
      </c>
      <c r="B37" s="18" t="n"/>
      <c r="C37" s="18" t="n"/>
    </row>
    <row r="38">
      <c r="A38" s="39" t="inlineStr">
        <is>
          <t>Налог на прибыль проекта к уплате (движок; в рабочей книге — лист «Налоги»)</t>
        </is>
      </c>
      <c r="B38" s="40">
        <f>SUM(D38:DM38)</f>
        <v/>
      </c>
      <c r="C38" s="37" t="inlineStr">
        <is>
          <t>млн ₽</t>
        </is>
      </c>
      <c r="D38" s="41" t="n">
        <v>0</v>
      </c>
      <c r="E38" s="41" t="n">
        <v>0</v>
      </c>
      <c r="F38" s="41" t="n">
        <v>0</v>
      </c>
      <c r="G38" s="41" t="n">
        <v>0</v>
      </c>
      <c r="H38" s="41" t="n">
        <v>0</v>
      </c>
      <c r="I38" s="41" t="n">
        <v>0</v>
      </c>
      <c r="J38" s="41" t="n">
        <v>0</v>
      </c>
      <c r="K38" s="41" t="n">
        <v>0</v>
      </c>
      <c r="L38" s="41" t="n">
        <v>0</v>
      </c>
      <c r="M38" s="41" t="n">
        <v>0</v>
      </c>
      <c r="N38" s="41" t="n">
        <v>0</v>
      </c>
      <c r="O38" s="41" t="n">
        <v>0</v>
      </c>
      <c r="P38" s="41" t="n">
        <v>0</v>
      </c>
      <c r="Q38" s="41" t="n">
        <v>0</v>
      </c>
      <c r="R38" s="41" t="n">
        <v>0</v>
      </c>
      <c r="S38" s="41" t="n">
        <v>0</v>
      </c>
      <c r="T38" s="41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  <c r="AN38" s="41" t="n">
        <v>0</v>
      </c>
      <c r="AO38" s="41" t="n">
        <v>0</v>
      </c>
      <c r="AP38" s="41" t="n">
        <v>0</v>
      </c>
      <c r="AQ38" s="41" t="n">
        <v>0</v>
      </c>
      <c r="AR38" s="41" t="n">
        <v>0</v>
      </c>
      <c r="AS38" s="41" t="n">
        <v>0</v>
      </c>
      <c r="AT38" s="41" t="n">
        <v>0</v>
      </c>
      <c r="AU38" s="41" t="n">
        <v>0</v>
      </c>
      <c r="AV38" s="41" t="n">
        <v>0</v>
      </c>
      <c r="AW38" s="41" t="n">
        <v>0</v>
      </c>
      <c r="AX38" s="41" t="n">
        <v>0</v>
      </c>
      <c r="AY38" s="41" t="n">
        <v>0</v>
      </c>
      <c r="AZ38" s="41" t="n">
        <v>0</v>
      </c>
      <c r="BA38" s="41" t="n">
        <v>0</v>
      </c>
      <c r="BB38" s="41" t="n">
        <v>0</v>
      </c>
      <c r="BC38" s="41" t="n">
        <v>0</v>
      </c>
      <c r="BD38" s="41" t="n">
        <v>0</v>
      </c>
      <c r="BE38" s="41" t="n">
        <v>0</v>
      </c>
      <c r="BF38" s="41" t="n">
        <v>0</v>
      </c>
      <c r="BG38" s="41" t="n">
        <v>0</v>
      </c>
      <c r="BH38" s="41" t="n">
        <v>0</v>
      </c>
      <c r="BI38" s="41" t="n">
        <v>0</v>
      </c>
      <c r="BJ38" s="41" t="n">
        <v>0</v>
      </c>
      <c r="BK38" s="41" t="n">
        <v>0</v>
      </c>
      <c r="BL38" s="41" t="n">
        <v>0</v>
      </c>
      <c r="BM38" s="41" t="n">
        <v>0</v>
      </c>
      <c r="BN38" s="41" t="n">
        <v>0</v>
      </c>
      <c r="BO38" s="41" t="n">
        <v>0</v>
      </c>
      <c r="BP38" s="41" t="n">
        <v>0</v>
      </c>
      <c r="BQ38" s="41" t="n">
        <v>0</v>
      </c>
      <c r="BR38" s="41" t="n">
        <v>0</v>
      </c>
      <c r="BS38" s="41" t="n">
        <v>0</v>
      </c>
      <c r="BT38" s="41" t="n">
        <v>0</v>
      </c>
      <c r="BU38" s="41" t="n">
        <v>0</v>
      </c>
      <c r="BV38" s="41" t="n">
        <v>0</v>
      </c>
      <c r="BW38" s="41" t="n">
        <v>0</v>
      </c>
      <c r="BX38" s="41" t="n">
        <v>0</v>
      </c>
      <c r="BY38" s="41" t="n">
        <v>0</v>
      </c>
      <c r="BZ38" s="41" t="n">
        <v>0</v>
      </c>
      <c r="CA38" s="41" t="n">
        <v>0</v>
      </c>
      <c r="CB38" s="41" t="n">
        <v>0</v>
      </c>
      <c r="CC38" s="41" t="n">
        <v>0</v>
      </c>
      <c r="CD38" s="41" t="n">
        <v>0</v>
      </c>
      <c r="CE38" s="41" t="n">
        <v>0</v>
      </c>
      <c r="CF38" s="41" t="n">
        <v>0</v>
      </c>
      <c r="CG38" s="41" t="n">
        <v>0</v>
      </c>
      <c r="CH38" s="41" t="n">
        <v>0</v>
      </c>
      <c r="CI38" s="41" t="n">
        <v>0</v>
      </c>
      <c r="CJ38" s="41" t="n">
        <v>0</v>
      </c>
      <c r="CK38" s="41" t="n">
        <v>0</v>
      </c>
      <c r="CL38" s="41" t="n">
        <v>0</v>
      </c>
      <c r="CM38" s="41" t="n">
        <v>0</v>
      </c>
      <c r="CN38" s="41" t="n">
        <v>0</v>
      </c>
      <c r="CO38" s="41" t="n">
        <v>0</v>
      </c>
      <c r="CP38" s="41" t="n">
        <v>0</v>
      </c>
      <c r="CQ38" s="41" t="n">
        <v>0</v>
      </c>
      <c r="CR38" s="41" t="n">
        <v>0</v>
      </c>
      <c r="CS38" s="41" t="n">
        <v>0</v>
      </c>
      <c r="CT38" s="41" t="n">
        <v>0</v>
      </c>
      <c r="CU38" s="41" t="n">
        <v>0</v>
      </c>
      <c r="CV38" s="41" t="n">
        <v>0</v>
      </c>
      <c r="CW38" s="41" t="n">
        <v>0</v>
      </c>
      <c r="CX38" s="41" t="n">
        <v>0</v>
      </c>
      <c r="CY38" s="41" t="n">
        <v>0</v>
      </c>
      <c r="CZ38" s="41" t="n">
        <v>0</v>
      </c>
      <c r="DA38" s="41" t="n">
        <v>0</v>
      </c>
      <c r="DB38" s="41" t="n">
        <v>152.6479500835488</v>
      </c>
      <c r="DC38" s="41" t="n">
        <v>0</v>
      </c>
      <c r="DD38" s="41" t="n">
        <v>0</v>
      </c>
      <c r="DE38" s="41" t="n">
        <v>0</v>
      </c>
      <c r="DF38" s="41" t="n">
        <v>0</v>
      </c>
      <c r="DG38" s="41" t="n">
        <v>0</v>
      </c>
      <c r="DH38" s="41" t="n">
        <v>0</v>
      </c>
      <c r="DI38" s="41" t="n">
        <v>0</v>
      </c>
      <c r="DJ38" s="41" t="n">
        <v>0</v>
      </c>
      <c r="DK38" s="41" t="n">
        <v>0</v>
      </c>
      <c r="DL38" s="41" t="n">
        <v>0</v>
      </c>
      <c r="DM38" s="41" t="n">
        <v>0</v>
      </c>
    </row>
    <row r="39">
      <c r="A39" s="42" t="inlineStr">
        <is>
          <t>Поток собственника</t>
        </is>
      </c>
      <c r="B39" s="40">
        <f>SUM(D39:DM39)</f>
        <v/>
      </c>
      <c r="C39" s="37" t="inlineStr">
        <is>
          <t>млн ₽</t>
        </is>
      </c>
      <c r="D39" s="40">
        <f>'CF_Аренда'!D7-'CF_Аренда'!D8-'CF_Аренда'!D13-'CF_Аренда'!D20-'CF_Аренда'!D35+'CF_Аренда'!D17-'CF_Аренда'!D29-'CAPEX'!D7*IF('СРОКИ'!D10&lt;='СРОКИ'!$B$6,1,0)-'CF_Аренда'!D38</f>
        <v/>
      </c>
      <c r="E39" s="40">
        <f>'CF_Аренда'!E7-'CF_Аренда'!E8-'CF_Аренда'!E13-'CF_Аренда'!E20-'CF_Аренда'!E35+'CF_Аренда'!E17-'CF_Аренда'!E29-'CAPEX'!E7*IF('СРОКИ'!E10&lt;='СРОКИ'!$B$6,1,0)-'CF_Аренда'!E38</f>
        <v/>
      </c>
      <c r="F39" s="40">
        <f>'CF_Аренда'!F7-'CF_Аренда'!F8-'CF_Аренда'!F13-'CF_Аренда'!F20-'CF_Аренда'!F35+'CF_Аренда'!F17-'CF_Аренда'!F29-'CAPEX'!F7*IF('СРОКИ'!F10&lt;='СРОКИ'!$B$6,1,0)-'CF_Аренда'!F38</f>
        <v/>
      </c>
      <c r="G39" s="40">
        <f>'CF_Аренда'!G7-'CF_Аренда'!G8-'CF_Аренда'!G13-'CF_Аренда'!G20-'CF_Аренда'!G35+'CF_Аренда'!G17-'CF_Аренда'!G29-'CAPEX'!G7*IF('СРОКИ'!G10&lt;='СРОКИ'!$B$6,1,0)-'CF_Аренда'!G38</f>
        <v/>
      </c>
      <c r="H39" s="40">
        <f>'CF_Аренда'!H7-'CF_Аренда'!H8-'CF_Аренда'!H13-'CF_Аренда'!H20-'CF_Аренда'!H35+'CF_Аренда'!H17-'CF_Аренда'!H29-'CAPEX'!H7*IF('СРОКИ'!H10&lt;='СРОКИ'!$B$6,1,0)-'CF_Аренда'!H38</f>
        <v/>
      </c>
      <c r="I39" s="40">
        <f>'CF_Аренда'!I7-'CF_Аренда'!I8-'CF_Аренда'!I13-'CF_Аренда'!I20-'CF_Аренда'!I35+'CF_Аренда'!I17-'CF_Аренда'!I29-'CAPEX'!I7*IF('СРОКИ'!I10&lt;='СРОКИ'!$B$6,1,0)-'CF_Аренда'!I38</f>
        <v/>
      </c>
      <c r="J39" s="40">
        <f>'CF_Аренда'!J7-'CF_Аренда'!J8-'CF_Аренда'!J13-'CF_Аренда'!J20-'CF_Аренда'!J35+'CF_Аренда'!J17-'CF_Аренда'!J29-'CAPEX'!J7*IF('СРОКИ'!J10&lt;='СРОКИ'!$B$6,1,0)-'CF_Аренда'!J38</f>
        <v/>
      </c>
      <c r="K39" s="40">
        <f>'CF_Аренда'!K7-'CF_Аренда'!K8-'CF_Аренда'!K13-'CF_Аренда'!K20-'CF_Аренда'!K35+'CF_Аренда'!K17-'CF_Аренда'!K29-'CAPEX'!K7*IF('СРОКИ'!K10&lt;='СРОКИ'!$B$6,1,0)-'CF_Аренда'!K38</f>
        <v/>
      </c>
      <c r="L39" s="40">
        <f>'CF_Аренда'!L7-'CF_Аренда'!L8-'CF_Аренда'!L13-'CF_Аренда'!L20-'CF_Аренда'!L35+'CF_Аренда'!L17-'CF_Аренда'!L29-'CAPEX'!L7*IF('СРОКИ'!L10&lt;='СРОКИ'!$B$6,1,0)-'CF_Аренда'!L38</f>
        <v/>
      </c>
      <c r="M39" s="40">
        <f>'CF_Аренда'!M7-'CF_Аренда'!M8-'CF_Аренда'!M13-'CF_Аренда'!M20-'CF_Аренда'!M35+'CF_Аренда'!M17-'CF_Аренда'!M29-'CAPEX'!M7*IF('СРОКИ'!M10&lt;='СРОКИ'!$B$6,1,0)-'CF_Аренда'!M38</f>
        <v/>
      </c>
      <c r="N39" s="40">
        <f>'CF_Аренда'!N7-'CF_Аренда'!N8-'CF_Аренда'!N13-'CF_Аренда'!N20-'CF_Аренда'!N35+'CF_Аренда'!N17-'CF_Аренда'!N29-'CAPEX'!N7*IF('СРОКИ'!N10&lt;='СРОКИ'!$B$6,1,0)-'CF_Аренда'!N38</f>
        <v/>
      </c>
      <c r="O39" s="40">
        <f>'CF_Аренда'!O7-'CF_Аренда'!O8-'CF_Аренда'!O13-'CF_Аренда'!O20-'CF_Аренда'!O35+'CF_Аренда'!O17-'CF_Аренда'!O29-'CAPEX'!O7*IF('СРОКИ'!O10&lt;='СРОКИ'!$B$6,1,0)-'CF_Аренда'!O38</f>
        <v/>
      </c>
      <c r="P39" s="40">
        <f>'CF_Аренда'!P7-'CF_Аренда'!P8-'CF_Аренда'!P13-'CF_Аренда'!P20-'CF_Аренда'!P35+'CF_Аренда'!P17-'CF_Аренда'!P29-'CAPEX'!P7*IF('СРОКИ'!P10&lt;='СРОКИ'!$B$6,1,0)-'CF_Аренда'!P38</f>
        <v/>
      </c>
      <c r="Q39" s="40">
        <f>'CF_Аренда'!Q7-'CF_Аренда'!Q8-'CF_Аренда'!Q13-'CF_Аренда'!Q20-'CF_Аренда'!Q35+'CF_Аренда'!Q17-'CF_Аренда'!Q29-'CAPEX'!Q7*IF('СРОКИ'!Q10&lt;='СРОКИ'!$B$6,1,0)-'CF_Аренда'!Q38</f>
        <v/>
      </c>
      <c r="R39" s="40">
        <f>'CF_Аренда'!R7-'CF_Аренда'!R8-'CF_Аренда'!R13-'CF_Аренда'!R20-'CF_Аренда'!R35+'CF_Аренда'!R17-'CF_Аренда'!R29-'CAPEX'!R7*IF('СРОКИ'!R10&lt;='СРОКИ'!$B$6,1,0)-'CF_Аренда'!R38</f>
        <v/>
      </c>
      <c r="S39" s="40">
        <f>'CF_Аренда'!S7-'CF_Аренда'!S8-'CF_Аренда'!S13-'CF_Аренда'!S20-'CF_Аренда'!S35+'CF_Аренда'!S17-'CF_Аренда'!S29-'CAPEX'!S7*IF('СРОКИ'!S10&lt;='СРОКИ'!$B$6,1,0)-'CF_Аренда'!S38</f>
        <v/>
      </c>
      <c r="T39" s="40">
        <f>'CF_Аренда'!T7-'CF_Аренда'!T8-'CF_Аренда'!T13-'CF_Аренда'!T20-'CF_Аренда'!T35+'CF_Аренда'!T17-'CF_Аренда'!T29-'CAPEX'!T7*IF('СРОКИ'!T10&lt;='СРОКИ'!$B$6,1,0)-'CF_Аренда'!T38</f>
        <v/>
      </c>
      <c r="U39" s="40">
        <f>'CF_Аренда'!U7-'CF_Аренда'!U8-'CF_Аренда'!U13-'CF_Аренда'!U20-'CF_Аренда'!U35+'CF_Аренда'!U17-'CF_Аренда'!U29-'CAPEX'!U7*IF('СРОКИ'!U10&lt;='СРОКИ'!$B$6,1,0)-'CF_Аренда'!U38</f>
        <v/>
      </c>
      <c r="V39" s="40">
        <f>'CF_Аренда'!V7-'CF_Аренда'!V8-'CF_Аренда'!V13-'CF_Аренда'!V20-'CF_Аренда'!V35+'CF_Аренда'!V17-'CF_Аренда'!V29-'CAPEX'!V7*IF('СРОКИ'!V10&lt;='СРОКИ'!$B$6,1,0)-'CF_Аренда'!V38</f>
        <v/>
      </c>
      <c r="W39" s="40">
        <f>'CF_Аренда'!W7-'CF_Аренда'!W8-'CF_Аренда'!W13-'CF_Аренда'!W20-'CF_Аренда'!W35+'CF_Аренда'!W17-'CF_Аренда'!W29-'CAPEX'!W7*IF('СРОКИ'!W10&lt;='СРОКИ'!$B$6,1,0)-'CF_Аренда'!W38</f>
        <v/>
      </c>
      <c r="X39" s="40">
        <f>'CF_Аренда'!X7-'CF_Аренда'!X8-'CF_Аренда'!X13-'CF_Аренда'!X20-'CF_Аренда'!X35+'CF_Аренда'!X17-'CF_Аренда'!X29-'CAPEX'!X7*IF('СРОКИ'!X10&lt;='СРОКИ'!$B$6,1,0)-'CF_Аренда'!X38</f>
        <v/>
      </c>
      <c r="Y39" s="40">
        <f>'CF_Аренда'!Y7-'CF_Аренда'!Y8-'CF_Аренда'!Y13-'CF_Аренда'!Y20-'CF_Аренда'!Y35+'CF_Аренда'!Y17-'CF_Аренда'!Y29-'CAPEX'!Y7*IF('СРОКИ'!Y10&lt;='СРОКИ'!$B$6,1,0)-'CF_Аренда'!Y38</f>
        <v/>
      </c>
      <c r="Z39" s="40">
        <f>'CF_Аренда'!Z7-'CF_Аренда'!Z8-'CF_Аренда'!Z13-'CF_Аренда'!Z20-'CF_Аренда'!Z35+'CF_Аренда'!Z17-'CF_Аренда'!Z29-'CAPEX'!Z7*IF('СРОКИ'!Z10&lt;='СРОКИ'!$B$6,1,0)-'CF_Аренда'!Z38</f>
        <v/>
      </c>
      <c r="AA39" s="40">
        <f>'CF_Аренда'!AA7-'CF_Аренда'!AA8-'CF_Аренда'!AA13-'CF_Аренда'!AA20-'CF_Аренда'!AA35+'CF_Аренда'!AA17-'CF_Аренда'!AA29-'CAPEX'!AA7*IF('СРОКИ'!AA10&lt;='СРОКИ'!$B$6,1,0)-'CF_Аренда'!AA38</f>
        <v/>
      </c>
      <c r="AB39" s="40">
        <f>'CF_Аренда'!AB7-'CF_Аренда'!AB8-'CF_Аренда'!AB13-'CF_Аренда'!AB20-'CF_Аренда'!AB35+'CF_Аренда'!AB17-'CF_Аренда'!AB29-'CAPEX'!AB7*IF('СРОКИ'!AB10&lt;='СРОКИ'!$B$6,1,0)-'CF_Аренда'!AB38</f>
        <v/>
      </c>
      <c r="AC39" s="40">
        <f>'CF_Аренда'!AC7-'CF_Аренда'!AC8-'CF_Аренда'!AC13-'CF_Аренда'!AC20-'CF_Аренда'!AC35+'CF_Аренда'!AC17-'CF_Аренда'!AC29-'CAPEX'!AC7*IF('СРОКИ'!AC10&lt;='СРОКИ'!$B$6,1,0)-'CF_Аренда'!AC38</f>
        <v/>
      </c>
      <c r="AD39" s="40">
        <f>'CF_Аренда'!AD7-'CF_Аренда'!AD8-'CF_Аренда'!AD13-'CF_Аренда'!AD20-'CF_Аренда'!AD35+'CF_Аренда'!AD17-'CF_Аренда'!AD29-'CAPEX'!AD7*IF('СРОКИ'!AD10&lt;='СРОКИ'!$B$6,1,0)-'CF_Аренда'!AD38</f>
        <v/>
      </c>
      <c r="AE39" s="40">
        <f>'CF_Аренда'!AE7-'CF_Аренда'!AE8-'CF_Аренда'!AE13-'CF_Аренда'!AE20-'CF_Аренда'!AE35+'CF_Аренда'!AE17-'CF_Аренда'!AE29-'CAPEX'!AE7*IF('СРОКИ'!AE10&lt;='СРОКИ'!$B$6,1,0)-'CF_Аренда'!AE38</f>
        <v/>
      </c>
      <c r="AF39" s="40">
        <f>'CF_Аренда'!AF7-'CF_Аренда'!AF8-'CF_Аренда'!AF13-'CF_Аренда'!AF20-'CF_Аренда'!AF35+'CF_Аренда'!AF17-'CF_Аренда'!AF29-'CAPEX'!AF7*IF('СРОКИ'!AF10&lt;='СРОКИ'!$B$6,1,0)-'CF_Аренда'!AF38</f>
        <v/>
      </c>
      <c r="AG39" s="40">
        <f>'CF_Аренда'!AG7-'CF_Аренда'!AG8-'CF_Аренда'!AG13-'CF_Аренда'!AG20-'CF_Аренда'!AG35+'CF_Аренда'!AG17-'CF_Аренда'!AG29-'CAPEX'!AG7*IF('СРОКИ'!AG10&lt;='СРОКИ'!$B$6,1,0)-'CF_Аренда'!AG38</f>
        <v/>
      </c>
      <c r="AH39" s="40">
        <f>'CF_Аренда'!AH7-'CF_Аренда'!AH8-'CF_Аренда'!AH13-'CF_Аренда'!AH20-'CF_Аренда'!AH35+'CF_Аренда'!AH17-'CF_Аренда'!AH29-'CAPEX'!AH7*IF('СРОКИ'!AH10&lt;='СРОКИ'!$B$6,1,0)-'CF_Аренда'!AH38</f>
        <v/>
      </c>
      <c r="AI39" s="40">
        <f>'CF_Аренда'!AI7-'CF_Аренда'!AI8-'CF_Аренда'!AI13-'CF_Аренда'!AI20-'CF_Аренда'!AI35+'CF_Аренда'!AI17-'CF_Аренда'!AI29-'CAPEX'!AI7*IF('СРОКИ'!AI10&lt;='СРОКИ'!$B$6,1,0)-'CF_Аренда'!AI38</f>
        <v/>
      </c>
      <c r="AJ39" s="40">
        <f>'CF_Аренда'!AJ7-'CF_Аренда'!AJ8-'CF_Аренда'!AJ13-'CF_Аренда'!AJ20-'CF_Аренда'!AJ35+'CF_Аренда'!AJ17-'CF_Аренда'!AJ29-'CAPEX'!AJ7*IF('СРОКИ'!AJ10&lt;='СРОКИ'!$B$6,1,0)-'CF_Аренда'!AJ38</f>
        <v/>
      </c>
      <c r="AK39" s="40">
        <f>'CF_Аренда'!AK7-'CF_Аренда'!AK8-'CF_Аренда'!AK13-'CF_Аренда'!AK20-'CF_Аренда'!AK35+'CF_Аренда'!AK17-'CF_Аренда'!AK29-'CAPEX'!AK7*IF('СРОКИ'!AK10&lt;='СРОКИ'!$B$6,1,0)-'CF_Аренда'!AK38</f>
        <v/>
      </c>
      <c r="AL39" s="40">
        <f>'CF_Аренда'!AL7-'CF_Аренда'!AL8-'CF_Аренда'!AL13-'CF_Аренда'!AL20-'CF_Аренда'!AL35+'CF_Аренда'!AL17-'CF_Аренда'!AL29-'CAPEX'!AL7*IF('СРОКИ'!AL10&lt;='СРОКИ'!$B$6,1,0)-'CF_Аренда'!AL38</f>
        <v/>
      </c>
      <c r="AM39" s="40">
        <f>'CF_Аренда'!AM7-'CF_Аренда'!AM8-'CF_Аренда'!AM13-'CF_Аренда'!AM20-'CF_Аренда'!AM35+'CF_Аренда'!AM17-'CF_Аренда'!AM29-'CAPEX'!AM7*IF('СРОКИ'!AM10&lt;='СРОКИ'!$B$6,1,0)-'CF_Аренда'!AM38</f>
        <v/>
      </c>
      <c r="AN39" s="40">
        <f>'CF_Аренда'!AN7-'CF_Аренда'!AN8-'CF_Аренда'!AN13-'CF_Аренда'!AN20-'CF_Аренда'!AN35+'CF_Аренда'!AN17-'CF_Аренда'!AN29-'CAPEX'!AN7*IF('СРОКИ'!AN10&lt;='СРОКИ'!$B$6,1,0)-'CF_Аренда'!AN38</f>
        <v/>
      </c>
      <c r="AO39" s="40">
        <f>'CF_Аренда'!AO7-'CF_Аренда'!AO8-'CF_Аренда'!AO13-'CF_Аренда'!AO20-'CF_Аренда'!AO35+'CF_Аренда'!AO17-'CF_Аренда'!AO29-'CAPEX'!AO7*IF('СРОКИ'!AO10&lt;='СРОКИ'!$B$6,1,0)-'CF_Аренда'!AO38</f>
        <v/>
      </c>
      <c r="AP39" s="40">
        <f>'CF_Аренда'!AP7-'CF_Аренда'!AP8-'CF_Аренда'!AP13-'CF_Аренда'!AP20-'CF_Аренда'!AP35+'CF_Аренда'!AP17-'CF_Аренда'!AP29-'CAPEX'!AP7*IF('СРОКИ'!AP10&lt;='СРОКИ'!$B$6,1,0)-'CF_Аренда'!AP38</f>
        <v/>
      </c>
      <c r="AQ39" s="40">
        <f>'CF_Аренда'!AQ7-'CF_Аренда'!AQ8-'CF_Аренда'!AQ13-'CF_Аренда'!AQ20-'CF_Аренда'!AQ35+'CF_Аренда'!AQ17-'CF_Аренда'!AQ29-'CAPEX'!AQ7*IF('СРОКИ'!AQ10&lt;='СРОКИ'!$B$6,1,0)-'CF_Аренда'!AQ38</f>
        <v/>
      </c>
      <c r="AR39" s="40">
        <f>'CF_Аренда'!AR7-'CF_Аренда'!AR8-'CF_Аренда'!AR13-'CF_Аренда'!AR20-'CF_Аренда'!AR35+'CF_Аренда'!AR17-'CF_Аренда'!AR29-'CAPEX'!AR7*IF('СРОКИ'!AR10&lt;='СРОКИ'!$B$6,1,0)-'CF_Аренда'!AR38</f>
        <v/>
      </c>
      <c r="AS39" s="40">
        <f>'CF_Аренда'!AS7-'CF_Аренда'!AS8-'CF_Аренда'!AS13-'CF_Аренда'!AS20-'CF_Аренда'!AS35+'CF_Аренда'!AS17-'CF_Аренда'!AS29-'CAPEX'!AS7*IF('СРОКИ'!AS10&lt;='СРОКИ'!$B$6,1,0)-'CF_Аренда'!AS38</f>
        <v/>
      </c>
      <c r="AT39" s="40">
        <f>'CF_Аренда'!AT7-'CF_Аренда'!AT8-'CF_Аренда'!AT13-'CF_Аренда'!AT20-'CF_Аренда'!AT35+'CF_Аренда'!AT17-'CF_Аренда'!AT29-'CAPEX'!AT7*IF('СРОКИ'!AT10&lt;='СРОКИ'!$B$6,1,0)-'CF_Аренда'!AT38</f>
        <v/>
      </c>
      <c r="AU39" s="40">
        <f>'CF_Аренда'!AU7-'CF_Аренда'!AU8-'CF_Аренда'!AU13-'CF_Аренда'!AU20-'CF_Аренда'!AU35+'CF_Аренда'!AU17-'CF_Аренда'!AU29-'CAPEX'!AU7*IF('СРОКИ'!AU10&lt;='СРОКИ'!$B$6,1,0)-'CF_Аренда'!AU38</f>
        <v/>
      </c>
      <c r="AV39" s="40">
        <f>'CF_Аренда'!AV7-'CF_Аренда'!AV8-'CF_Аренда'!AV13-'CF_Аренда'!AV20-'CF_Аренда'!AV35+'CF_Аренда'!AV17-'CF_Аренда'!AV29-'CAPEX'!AV7*IF('СРОКИ'!AV10&lt;='СРОКИ'!$B$6,1,0)-'CF_Аренда'!AV38</f>
        <v/>
      </c>
      <c r="AW39" s="40">
        <f>'CF_Аренда'!AW7-'CF_Аренда'!AW8-'CF_Аренда'!AW13-'CF_Аренда'!AW20-'CF_Аренда'!AW35+'CF_Аренда'!AW17-'CF_Аренда'!AW29-'CAPEX'!AW7*IF('СРОКИ'!AW10&lt;='СРОКИ'!$B$6,1,0)-'CF_Аренда'!AW38</f>
        <v/>
      </c>
      <c r="AX39" s="40">
        <f>'CF_Аренда'!AX7-'CF_Аренда'!AX8-'CF_Аренда'!AX13-'CF_Аренда'!AX20-'CF_Аренда'!AX35+'CF_Аренда'!AX17-'CF_Аренда'!AX29-'CAPEX'!AX7*IF('СРОКИ'!AX10&lt;='СРОКИ'!$B$6,1,0)-'CF_Аренда'!AX38</f>
        <v/>
      </c>
      <c r="AY39" s="40">
        <f>'CF_Аренда'!AY7-'CF_Аренда'!AY8-'CF_Аренда'!AY13-'CF_Аренда'!AY20-'CF_Аренда'!AY35+'CF_Аренда'!AY17-'CF_Аренда'!AY29-'CAPEX'!AY7*IF('СРОКИ'!AY10&lt;='СРОКИ'!$B$6,1,0)-'CF_Аренда'!AY38</f>
        <v/>
      </c>
      <c r="AZ39" s="40">
        <f>'CF_Аренда'!AZ7-'CF_Аренда'!AZ8-'CF_Аренда'!AZ13-'CF_Аренда'!AZ20-'CF_Аренда'!AZ35+'CF_Аренда'!AZ17-'CF_Аренда'!AZ29-'CAPEX'!AZ7*IF('СРОКИ'!AZ10&lt;='СРОКИ'!$B$6,1,0)-'CF_Аренда'!AZ38</f>
        <v/>
      </c>
      <c r="BA39" s="40">
        <f>'CF_Аренда'!BA7-'CF_Аренда'!BA8-'CF_Аренда'!BA13-'CF_Аренда'!BA20-'CF_Аренда'!BA35+'CF_Аренда'!BA17-'CF_Аренда'!BA29-'CAPEX'!BA7*IF('СРОКИ'!BA10&lt;='СРОКИ'!$B$6,1,0)-'CF_Аренда'!BA38</f>
        <v/>
      </c>
      <c r="BB39" s="40">
        <f>'CF_Аренда'!BB7-'CF_Аренда'!BB8-'CF_Аренда'!BB13-'CF_Аренда'!BB20-'CF_Аренда'!BB35+'CF_Аренда'!BB17-'CF_Аренда'!BB29-'CAPEX'!BB7*IF('СРОКИ'!BB10&lt;='СРОКИ'!$B$6,1,0)-'CF_Аренда'!BB38</f>
        <v/>
      </c>
      <c r="BC39" s="40">
        <f>'CF_Аренда'!BC7-'CF_Аренда'!BC8-'CF_Аренда'!BC13-'CF_Аренда'!BC20-'CF_Аренда'!BC35+'CF_Аренда'!BC17-'CF_Аренда'!BC29-'CAPEX'!BC7*IF('СРОКИ'!BC10&lt;='СРОКИ'!$B$6,1,0)-'CF_Аренда'!BC38</f>
        <v/>
      </c>
      <c r="BD39" s="40">
        <f>'CF_Аренда'!BD7-'CF_Аренда'!BD8-'CF_Аренда'!BD13-'CF_Аренда'!BD20-'CF_Аренда'!BD35+'CF_Аренда'!BD17-'CF_Аренда'!BD29-'CAPEX'!BD7*IF('СРОКИ'!BD10&lt;='СРОКИ'!$B$6,1,0)-'CF_Аренда'!BD38</f>
        <v/>
      </c>
      <c r="BE39" s="40">
        <f>'CF_Аренда'!BE7-'CF_Аренда'!BE8-'CF_Аренда'!BE13-'CF_Аренда'!BE20-'CF_Аренда'!BE35+'CF_Аренда'!BE17-'CF_Аренда'!BE29-'CAPEX'!BE7*IF('СРОКИ'!BE10&lt;='СРОКИ'!$B$6,1,0)-'CF_Аренда'!BE38</f>
        <v/>
      </c>
      <c r="BF39" s="40">
        <f>'CF_Аренда'!BF7-'CF_Аренда'!BF8-'CF_Аренда'!BF13-'CF_Аренда'!BF20-'CF_Аренда'!BF35+'CF_Аренда'!BF17-'CF_Аренда'!BF29-'CAPEX'!BF7*IF('СРОКИ'!BF10&lt;='СРОКИ'!$B$6,1,0)-'CF_Аренда'!BF38</f>
        <v/>
      </c>
      <c r="BG39" s="40">
        <f>'CF_Аренда'!BG7-'CF_Аренда'!BG8-'CF_Аренда'!BG13-'CF_Аренда'!BG20-'CF_Аренда'!BG35+'CF_Аренда'!BG17-'CF_Аренда'!BG29-'CAPEX'!BG7*IF('СРОКИ'!BG10&lt;='СРОКИ'!$B$6,1,0)-'CF_Аренда'!BG38</f>
        <v/>
      </c>
      <c r="BH39" s="40">
        <f>'CF_Аренда'!BH7-'CF_Аренда'!BH8-'CF_Аренда'!BH13-'CF_Аренда'!BH20-'CF_Аренда'!BH35+'CF_Аренда'!BH17-'CF_Аренда'!BH29-'CAPEX'!BH7*IF('СРОКИ'!BH10&lt;='СРОКИ'!$B$6,1,0)-'CF_Аренда'!BH38</f>
        <v/>
      </c>
      <c r="BI39" s="40">
        <f>'CF_Аренда'!BI7-'CF_Аренда'!BI8-'CF_Аренда'!BI13-'CF_Аренда'!BI20-'CF_Аренда'!BI35+'CF_Аренда'!BI17-'CF_Аренда'!BI29-'CAPEX'!BI7*IF('СРОКИ'!BI10&lt;='СРОКИ'!$B$6,1,0)-'CF_Аренда'!BI38</f>
        <v/>
      </c>
      <c r="BJ39" s="40">
        <f>'CF_Аренда'!BJ7-'CF_Аренда'!BJ8-'CF_Аренда'!BJ13-'CF_Аренда'!BJ20-'CF_Аренда'!BJ35+'CF_Аренда'!BJ17-'CF_Аренда'!BJ29-'CAPEX'!BJ7*IF('СРОКИ'!BJ10&lt;='СРОКИ'!$B$6,1,0)-'CF_Аренда'!BJ38</f>
        <v/>
      </c>
      <c r="BK39" s="40">
        <f>'CF_Аренда'!BK7-'CF_Аренда'!BK8-'CF_Аренда'!BK13-'CF_Аренда'!BK20-'CF_Аренда'!BK35+'CF_Аренда'!BK17-'CF_Аренда'!BK29-'CAPEX'!BK7*IF('СРОКИ'!BK10&lt;='СРОКИ'!$B$6,1,0)-'CF_Аренда'!BK38</f>
        <v/>
      </c>
      <c r="BL39" s="40">
        <f>'CF_Аренда'!BL7-'CF_Аренда'!BL8-'CF_Аренда'!BL13-'CF_Аренда'!BL20-'CF_Аренда'!BL35+'CF_Аренда'!BL17-'CF_Аренда'!BL29-'CAPEX'!BL7*IF('СРОКИ'!BL10&lt;='СРОКИ'!$B$6,1,0)-'CF_Аренда'!BL38</f>
        <v/>
      </c>
      <c r="BM39" s="40">
        <f>'CF_Аренда'!BM7-'CF_Аренда'!BM8-'CF_Аренда'!BM13-'CF_Аренда'!BM20-'CF_Аренда'!BM35+'CF_Аренда'!BM17-'CF_Аренда'!BM29-'CAPEX'!BM7*IF('СРОКИ'!BM10&lt;='СРОКИ'!$B$6,1,0)-'CF_Аренда'!BM38</f>
        <v/>
      </c>
      <c r="BN39" s="40">
        <f>'CF_Аренда'!BN7-'CF_Аренда'!BN8-'CF_Аренда'!BN13-'CF_Аренда'!BN20-'CF_Аренда'!BN35+'CF_Аренда'!BN17-'CF_Аренда'!BN29-'CAPEX'!BN7*IF('СРОКИ'!BN10&lt;='СРОКИ'!$B$6,1,0)-'CF_Аренда'!BN38</f>
        <v/>
      </c>
      <c r="BO39" s="40">
        <f>'CF_Аренда'!BO7-'CF_Аренда'!BO8-'CF_Аренда'!BO13-'CF_Аренда'!BO20-'CF_Аренда'!BO35+'CF_Аренда'!BO17-'CF_Аренда'!BO29-'CAPEX'!BO7*IF('СРОКИ'!BO10&lt;='СРОКИ'!$B$6,1,0)-'CF_Аренда'!BO38</f>
        <v/>
      </c>
      <c r="BP39" s="40">
        <f>'CF_Аренда'!BP7-'CF_Аренда'!BP8-'CF_Аренда'!BP13-'CF_Аренда'!BP20-'CF_Аренда'!BP35+'CF_Аренда'!BP17-'CF_Аренда'!BP29-'CAPEX'!BP7*IF('СРОКИ'!BP10&lt;='СРОКИ'!$B$6,1,0)-'CF_Аренда'!BP38</f>
        <v/>
      </c>
      <c r="BQ39" s="40">
        <f>'CF_Аренда'!BQ7-'CF_Аренда'!BQ8-'CF_Аренда'!BQ13-'CF_Аренда'!BQ20-'CF_Аренда'!BQ35+'CF_Аренда'!BQ17-'CF_Аренда'!BQ29-'CAPEX'!BQ7*IF('СРОКИ'!BQ10&lt;='СРОКИ'!$B$6,1,0)-'CF_Аренда'!BQ38</f>
        <v/>
      </c>
      <c r="BR39" s="40">
        <f>'CF_Аренда'!BR7-'CF_Аренда'!BR8-'CF_Аренда'!BR13-'CF_Аренда'!BR20-'CF_Аренда'!BR35+'CF_Аренда'!BR17-'CF_Аренда'!BR29-'CAPEX'!BR7*IF('СРОКИ'!BR10&lt;='СРОКИ'!$B$6,1,0)-'CF_Аренда'!BR38</f>
        <v/>
      </c>
      <c r="BS39" s="40">
        <f>'CF_Аренда'!BS7-'CF_Аренда'!BS8-'CF_Аренда'!BS13-'CF_Аренда'!BS20-'CF_Аренда'!BS35+'CF_Аренда'!BS17-'CF_Аренда'!BS29-'CAPEX'!BS7*IF('СРОКИ'!BS10&lt;='СРОКИ'!$B$6,1,0)-'CF_Аренда'!BS38</f>
        <v/>
      </c>
      <c r="BT39" s="40">
        <f>'CF_Аренда'!BT7-'CF_Аренда'!BT8-'CF_Аренда'!BT13-'CF_Аренда'!BT20-'CF_Аренда'!BT35+'CF_Аренда'!BT17-'CF_Аренда'!BT29-'CAPEX'!BT7*IF('СРОКИ'!BT10&lt;='СРОКИ'!$B$6,1,0)-'CF_Аренда'!BT38</f>
        <v/>
      </c>
      <c r="BU39" s="40">
        <f>'CF_Аренда'!BU7-'CF_Аренда'!BU8-'CF_Аренда'!BU13-'CF_Аренда'!BU20-'CF_Аренда'!BU35+'CF_Аренда'!BU17-'CF_Аренда'!BU29-'CAPEX'!BU7*IF('СРОКИ'!BU10&lt;='СРОКИ'!$B$6,1,0)-'CF_Аренда'!BU38</f>
        <v/>
      </c>
      <c r="BV39" s="40">
        <f>'CF_Аренда'!BV7-'CF_Аренда'!BV8-'CF_Аренда'!BV13-'CF_Аренда'!BV20-'CF_Аренда'!BV35+'CF_Аренда'!BV17-'CF_Аренда'!BV29-'CAPEX'!BV7*IF('СРОКИ'!BV10&lt;='СРОКИ'!$B$6,1,0)-'CF_Аренда'!BV38</f>
        <v/>
      </c>
      <c r="BW39" s="40">
        <f>'CF_Аренда'!BW7-'CF_Аренда'!BW8-'CF_Аренда'!BW13-'CF_Аренда'!BW20-'CF_Аренда'!BW35+'CF_Аренда'!BW17-'CF_Аренда'!BW29-'CAPEX'!BW7*IF('СРОКИ'!BW10&lt;='СРОКИ'!$B$6,1,0)-'CF_Аренда'!BW38</f>
        <v/>
      </c>
      <c r="BX39" s="40">
        <f>'CF_Аренда'!BX7-'CF_Аренда'!BX8-'CF_Аренда'!BX13-'CF_Аренда'!BX20-'CF_Аренда'!BX35+'CF_Аренда'!BX17-'CF_Аренда'!BX29-'CAPEX'!BX7*IF('СРОКИ'!BX10&lt;='СРОКИ'!$B$6,1,0)-'CF_Аренда'!BX38</f>
        <v/>
      </c>
      <c r="BY39" s="40">
        <f>'CF_Аренда'!BY7-'CF_Аренда'!BY8-'CF_Аренда'!BY13-'CF_Аренда'!BY20-'CF_Аренда'!BY35+'CF_Аренда'!BY17-'CF_Аренда'!BY29-'CAPEX'!BY7*IF('СРОКИ'!BY10&lt;='СРОКИ'!$B$6,1,0)-'CF_Аренда'!BY38</f>
        <v/>
      </c>
      <c r="BZ39" s="40">
        <f>'CF_Аренда'!BZ7-'CF_Аренда'!BZ8-'CF_Аренда'!BZ13-'CF_Аренда'!BZ20-'CF_Аренда'!BZ35+'CF_Аренда'!BZ17-'CF_Аренда'!BZ29-'CAPEX'!BZ7*IF('СРОКИ'!BZ10&lt;='СРОКИ'!$B$6,1,0)-'CF_Аренда'!BZ38</f>
        <v/>
      </c>
      <c r="CA39" s="40">
        <f>'CF_Аренда'!CA7-'CF_Аренда'!CA8-'CF_Аренда'!CA13-'CF_Аренда'!CA20-'CF_Аренда'!CA35+'CF_Аренда'!CA17-'CF_Аренда'!CA29-'CAPEX'!CA7*IF('СРОКИ'!CA10&lt;='СРОКИ'!$B$6,1,0)-'CF_Аренда'!CA38</f>
        <v/>
      </c>
      <c r="CB39" s="40">
        <f>'CF_Аренда'!CB7-'CF_Аренда'!CB8-'CF_Аренда'!CB13-'CF_Аренда'!CB20-'CF_Аренда'!CB35+'CF_Аренда'!CB17-'CF_Аренда'!CB29-'CAPEX'!CB7*IF('СРОКИ'!CB10&lt;='СРОКИ'!$B$6,1,0)-'CF_Аренда'!CB38</f>
        <v/>
      </c>
      <c r="CC39" s="40">
        <f>'CF_Аренда'!CC7-'CF_Аренда'!CC8-'CF_Аренда'!CC13-'CF_Аренда'!CC20-'CF_Аренда'!CC35+'CF_Аренда'!CC17-'CF_Аренда'!CC29-'CAPEX'!CC7*IF('СРОКИ'!CC10&lt;='СРОКИ'!$B$6,1,0)-'CF_Аренда'!CC38</f>
        <v/>
      </c>
      <c r="CD39" s="40">
        <f>'CF_Аренда'!CD7-'CF_Аренда'!CD8-'CF_Аренда'!CD13-'CF_Аренда'!CD20-'CF_Аренда'!CD35+'CF_Аренда'!CD17-'CF_Аренда'!CD29-'CAPEX'!CD7*IF('СРОКИ'!CD10&lt;='СРОКИ'!$B$6,1,0)-'CF_Аренда'!CD38</f>
        <v/>
      </c>
      <c r="CE39" s="40">
        <f>'CF_Аренда'!CE7-'CF_Аренда'!CE8-'CF_Аренда'!CE13-'CF_Аренда'!CE20-'CF_Аренда'!CE35+'CF_Аренда'!CE17-'CF_Аренда'!CE29-'CAPEX'!CE7*IF('СРОКИ'!CE10&lt;='СРОКИ'!$B$6,1,0)-'CF_Аренда'!CE38</f>
        <v/>
      </c>
      <c r="CF39" s="40">
        <f>'CF_Аренда'!CF7-'CF_Аренда'!CF8-'CF_Аренда'!CF13-'CF_Аренда'!CF20-'CF_Аренда'!CF35+'CF_Аренда'!CF17-'CF_Аренда'!CF29-'CAPEX'!CF7*IF('СРОКИ'!CF10&lt;='СРОКИ'!$B$6,1,0)-'CF_Аренда'!CF38</f>
        <v/>
      </c>
      <c r="CG39" s="40">
        <f>'CF_Аренда'!CG7-'CF_Аренда'!CG8-'CF_Аренда'!CG13-'CF_Аренда'!CG20-'CF_Аренда'!CG35+'CF_Аренда'!CG17-'CF_Аренда'!CG29-'CAPEX'!CG7*IF('СРОКИ'!CG10&lt;='СРОКИ'!$B$6,1,0)-'CF_Аренда'!CG38</f>
        <v/>
      </c>
      <c r="CH39" s="40">
        <f>'CF_Аренда'!CH7-'CF_Аренда'!CH8-'CF_Аренда'!CH13-'CF_Аренда'!CH20-'CF_Аренда'!CH35+'CF_Аренда'!CH17-'CF_Аренда'!CH29-'CAPEX'!CH7*IF('СРОКИ'!CH10&lt;='СРОКИ'!$B$6,1,0)-'CF_Аренда'!CH38</f>
        <v/>
      </c>
      <c r="CI39" s="40">
        <f>'CF_Аренда'!CI7-'CF_Аренда'!CI8-'CF_Аренда'!CI13-'CF_Аренда'!CI20-'CF_Аренда'!CI35+'CF_Аренда'!CI17-'CF_Аренда'!CI29-'CAPEX'!CI7*IF('СРОКИ'!CI10&lt;='СРОКИ'!$B$6,1,0)-'CF_Аренда'!CI38</f>
        <v/>
      </c>
      <c r="CJ39" s="40">
        <f>'CF_Аренда'!CJ7-'CF_Аренда'!CJ8-'CF_Аренда'!CJ13-'CF_Аренда'!CJ20-'CF_Аренда'!CJ35+'CF_Аренда'!CJ17-'CF_Аренда'!CJ29-'CAPEX'!CJ7*IF('СРОКИ'!CJ10&lt;='СРОКИ'!$B$6,1,0)-'CF_Аренда'!CJ38</f>
        <v/>
      </c>
      <c r="CK39" s="40">
        <f>'CF_Аренда'!CK7-'CF_Аренда'!CK8-'CF_Аренда'!CK13-'CF_Аренда'!CK20-'CF_Аренда'!CK35+'CF_Аренда'!CK17-'CF_Аренда'!CK29-'CAPEX'!CK7*IF('СРОКИ'!CK10&lt;='СРОКИ'!$B$6,1,0)-'CF_Аренда'!CK38</f>
        <v/>
      </c>
      <c r="CL39" s="40">
        <f>'CF_Аренда'!CL7-'CF_Аренда'!CL8-'CF_Аренда'!CL13-'CF_Аренда'!CL20-'CF_Аренда'!CL35+'CF_Аренда'!CL17-'CF_Аренда'!CL29-'CAPEX'!CL7*IF('СРОКИ'!CL10&lt;='СРОКИ'!$B$6,1,0)-'CF_Аренда'!CL38</f>
        <v/>
      </c>
      <c r="CM39" s="40">
        <f>'CF_Аренда'!CM7-'CF_Аренда'!CM8-'CF_Аренда'!CM13-'CF_Аренда'!CM20-'CF_Аренда'!CM35+'CF_Аренда'!CM17-'CF_Аренда'!CM29-'CAPEX'!CM7*IF('СРОКИ'!CM10&lt;='СРОКИ'!$B$6,1,0)-'CF_Аренда'!CM38</f>
        <v/>
      </c>
      <c r="CN39" s="40">
        <f>'CF_Аренда'!CN7-'CF_Аренда'!CN8-'CF_Аренда'!CN13-'CF_Аренда'!CN20-'CF_Аренда'!CN35+'CF_Аренда'!CN17-'CF_Аренда'!CN29-'CAPEX'!CN7*IF('СРОКИ'!CN10&lt;='СРОКИ'!$B$6,1,0)-'CF_Аренда'!CN38</f>
        <v/>
      </c>
      <c r="CO39" s="40">
        <f>'CF_Аренда'!CO7-'CF_Аренда'!CO8-'CF_Аренда'!CO13-'CF_Аренда'!CO20-'CF_Аренда'!CO35+'CF_Аренда'!CO17-'CF_Аренда'!CO29-'CAPEX'!CO7*IF('СРОКИ'!CO10&lt;='СРОКИ'!$B$6,1,0)-'CF_Аренда'!CO38</f>
        <v/>
      </c>
      <c r="CP39" s="40">
        <f>'CF_Аренда'!CP7-'CF_Аренда'!CP8-'CF_Аренда'!CP13-'CF_Аренда'!CP20-'CF_Аренда'!CP35+'CF_Аренда'!CP17-'CF_Аренда'!CP29-'CAPEX'!CP7*IF('СРОКИ'!CP10&lt;='СРОКИ'!$B$6,1,0)-'CF_Аренда'!CP38</f>
        <v/>
      </c>
      <c r="CQ39" s="40">
        <f>'CF_Аренда'!CQ7-'CF_Аренда'!CQ8-'CF_Аренда'!CQ13-'CF_Аренда'!CQ20-'CF_Аренда'!CQ35+'CF_Аренда'!CQ17-'CF_Аренда'!CQ29-'CAPEX'!CQ7*IF('СРОКИ'!CQ10&lt;='СРОКИ'!$B$6,1,0)-'CF_Аренда'!CQ38</f>
        <v/>
      </c>
      <c r="CR39" s="40">
        <f>'CF_Аренда'!CR7-'CF_Аренда'!CR8-'CF_Аренда'!CR13-'CF_Аренда'!CR20-'CF_Аренда'!CR35+'CF_Аренда'!CR17-'CF_Аренда'!CR29-'CAPEX'!CR7*IF('СРОКИ'!CR10&lt;='СРОКИ'!$B$6,1,0)-'CF_Аренда'!CR38</f>
        <v/>
      </c>
      <c r="CS39" s="40">
        <f>'CF_Аренда'!CS7-'CF_Аренда'!CS8-'CF_Аренда'!CS13-'CF_Аренда'!CS20-'CF_Аренда'!CS35+'CF_Аренда'!CS17-'CF_Аренда'!CS29-'CAPEX'!CS7*IF('СРОКИ'!CS10&lt;='СРОКИ'!$B$6,1,0)-'CF_Аренда'!CS38</f>
        <v/>
      </c>
      <c r="CT39" s="40">
        <f>'CF_Аренда'!CT7-'CF_Аренда'!CT8-'CF_Аренда'!CT13-'CF_Аренда'!CT20-'CF_Аренда'!CT35+'CF_Аренда'!CT17-'CF_Аренда'!CT29-'CAPEX'!CT7*IF('СРОКИ'!CT10&lt;='СРОКИ'!$B$6,1,0)-'CF_Аренда'!CT38</f>
        <v/>
      </c>
      <c r="CU39" s="40">
        <f>'CF_Аренда'!CU7-'CF_Аренда'!CU8-'CF_Аренда'!CU13-'CF_Аренда'!CU20-'CF_Аренда'!CU35+'CF_Аренда'!CU17-'CF_Аренда'!CU29-'CAPEX'!CU7*IF('СРОКИ'!CU10&lt;='СРОКИ'!$B$6,1,0)-'CF_Аренда'!CU38</f>
        <v/>
      </c>
      <c r="CV39" s="40">
        <f>'CF_Аренда'!CV7-'CF_Аренда'!CV8-'CF_Аренда'!CV13-'CF_Аренда'!CV20-'CF_Аренда'!CV35+'CF_Аренда'!CV17-'CF_Аренда'!CV29-'CAPEX'!CV7*IF('СРОКИ'!CV10&lt;='СРОКИ'!$B$6,1,0)-'CF_Аренда'!CV38</f>
        <v/>
      </c>
      <c r="CW39" s="40">
        <f>'CF_Аренда'!CW7-'CF_Аренда'!CW8-'CF_Аренда'!CW13-'CF_Аренда'!CW20-'CF_Аренда'!CW35+'CF_Аренда'!CW17-'CF_Аренда'!CW29-'CAPEX'!CW7*IF('СРОКИ'!CW10&lt;='СРОКИ'!$B$6,1,0)-'CF_Аренда'!CW38</f>
        <v/>
      </c>
      <c r="CX39" s="40">
        <f>'CF_Аренда'!CX7-'CF_Аренда'!CX8-'CF_Аренда'!CX13-'CF_Аренда'!CX20-'CF_Аренда'!CX35+'CF_Аренда'!CX17-'CF_Аренда'!CX29-'CAPEX'!CX7*IF('СРОКИ'!CX10&lt;='СРОКИ'!$B$6,1,0)-'CF_Аренда'!CX38</f>
        <v/>
      </c>
      <c r="CY39" s="40">
        <f>'CF_Аренда'!CY7-'CF_Аренда'!CY8-'CF_Аренда'!CY13-'CF_Аренда'!CY20-'CF_Аренда'!CY35+'CF_Аренда'!CY17-'CF_Аренда'!CY29-'CAPEX'!CY7*IF('СРОКИ'!CY10&lt;='СРОКИ'!$B$6,1,0)-'CF_Аренда'!CY38</f>
        <v/>
      </c>
      <c r="CZ39" s="40">
        <f>'CF_Аренда'!CZ7-'CF_Аренда'!CZ8-'CF_Аренда'!CZ13-'CF_Аренда'!CZ20-'CF_Аренда'!CZ35+'CF_Аренда'!CZ17-'CF_Аренда'!CZ29-'CAPEX'!CZ7*IF('СРОКИ'!CZ10&lt;='СРОКИ'!$B$6,1,0)-'CF_Аренда'!CZ38</f>
        <v/>
      </c>
      <c r="DA39" s="40">
        <f>'CF_Аренда'!DA7-'CF_Аренда'!DA8-'CF_Аренда'!DA13-'CF_Аренда'!DA20-'CF_Аренда'!DA35+'CF_Аренда'!DA17-'CF_Аренда'!DA29-'CAPEX'!DA7*IF('СРОКИ'!DA10&lt;='СРОКИ'!$B$6,1,0)-'CF_Аренда'!DA38</f>
        <v/>
      </c>
      <c r="DB39" s="40">
        <f>'CF_Аренда'!DB7-'CF_Аренда'!DB8-'CF_Аренда'!DB13-'CF_Аренда'!DB20-'CF_Аренда'!DB35+'CF_Аренда'!DB17-'CF_Аренда'!DB29-'CAPEX'!DB7*IF('СРОКИ'!DB10&lt;='СРОКИ'!$B$6,1,0)-'CF_Аренда'!DB38</f>
        <v/>
      </c>
      <c r="DC39" s="40">
        <f>'CF_Аренда'!DC7-'CF_Аренда'!DC8-'CF_Аренда'!DC13-'CF_Аренда'!DC20-'CF_Аренда'!DC35+'CF_Аренда'!DC17-'CF_Аренда'!DC29-'CAPEX'!DC7*IF('СРОКИ'!DC10&lt;='СРОКИ'!$B$6,1,0)-'CF_Аренда'!DC38</f>
        <v/>
      </c>
      <c r="DD39" s="40">
        <f>'CF_Аренда'!DD7-'CF_Аренда'!DD8-'CF_Аренда'!DD13-'CF_Аренда'!DD20-'CF_Аренда'!DD35+'CF_Аренда'!DD17-'CF_Аренда'!DD29-'CAPEX'!DD7*IF('СРОКИ'!DD10&lt;='СРОКИ'!$B$6,1,0)-'CF_Аренда'!DD38</f>
        <v/>
      </c>
      <c r="DE39" s="40">
        <f>'CF_Аренда'!DE7-'CF_Аренда'!DE8-'CF_Аренда'!DE13-'CF_Аренда'!DE20-'CF_Аренда'!DE35+'CF_Аренда'!DE17-'CF_Аренда'!DE29-'CAPEX'!DE7*IF('СРОКИ'!DE10&lt;='СРОКИ'!$B$6,1,0)-'CF_Аренда'!DE38</f>
        <v/>
      </c>
      <c r="DF39" s="40">
        <f>'CF_Аренда'!DF7-'CF_Аренда'!DF8-'CF_Аренда'!DF13-'CF_Аренда'!DF20-'CF_Аренда'!DF35+'CF_Аренда'!DF17-'CF_Аренда'!DF29-'CAPEX'!DF7*IF('СРОКИ'!DF10&lt;='СРОКИ'!$B$6,1,0)-'CF_Аренда'!DF38</f>
        <v/>
      </c>
      <c r="DG39" s="40">
        <f>'CF_Аренда'!DG7-'CF_Аренда'!DG8-'CF_Аренда'!DG13-'CF_Аренда'!DG20-'CF_Аренда'!DG35+'CF_Аренда'!DG17-'CF_Аренда'!DG29-'CAPEX'!DG7*IF('СРОКИ'!DG10&lt;='СРОКИ'!$B$6,1,0)-'CF_Аренда'!DG38</f>
        <v/>
      </c>
      <c r="DH39" s="40">
        <f>'CF_Аренда'!DH7-'CF_Аренда'!DH8-'CF_Аренда'!DH13-'CF_Аренда'!DH20-'CF_Аренда'!DH35+'CF_Аренда'!DH17-'CF_Аренда'!DH29-'CAPEX'!DH7*IF('СРОКИ'!DH10&lt;='СРОКИ'!$B$6,1,0)-'CF_Аренда'!DH38</f>
        <v/>
      </c>
      <c r="DI39" s="40">
        <f>'CF_Аренда'!DI7-'CF_Аренда'!DI8-'CF_Аренда'!DI13-'CF_Аренда'!DI20-'CF_Аренда'!DI35+'CF_Аренда'!DI17-'CF_Аренда'!DI29-'CAPEX'!DI7*IF('СРОКИ'!DI10&lt;='СРОКИ'!$B$6,1,0)-'CF_Аренда'!DI38</f>
        <v/>
      </c>
      <c r="DJ39" s="40">
        <f>'CF_Аренда'!DJ7-'CF_Аренда'!DJ8-'CF_Аренда'!DJ13-'CF_Аренда'!DJ20-'CF_Аренда'!DJ35+'CF_Аренда'!DJ17-'CF_Аренда'!DJ29-'CAPEX'!DJ7*IF('СРОКИ'!DJ10&lt;='СРОКИ'!$B$6,1,0)-'CF_Аренда'!DJ38</f>
        <v/>
      </c>
      <c r="DK39" s="40">
        <f>'CF_Аренда'!DK7-'CF_Аренда'!DK8-'CF_Аренда'!DK13-'CF_Аренда'!DK20-'CF_Аренда'!DK35+'CF_Аренда'!DK17-'CF_Аренда'!DK29-'CAPEX'!DK7*IF('СРОКИ'!DK10&lt;='СРОКИ'!$B$6,1,0)-'CF_Аренда'!DK38</f>
        <v/>
      </c>
      <c r="DL39" s="40">
        <f>'CF_Аренда'!DL7-'CF_Аренда'!DL8-'CF_Аренда'!DL13-'CF_Аренда'!DL20-'CF_Аренда'!DL35+'CF_Аренда'!DL17-'CF_Аренда'!DL29-'CAPEX'!DL7*IF('СРОКИ'!DL10&lt;='СРОКИ'!$B$6,1,0)-'CF_Аренда'!DL38</f>
        <v/>
      </c>
      <c r="DM39" s="40">
        <f>'CF_Аренда'!DM7-'CF_Аренда'!DM8-'CF_Аренда'!DM13-'CF_Аренда'!DM20-'CF_Аренда'!DM35+'CF_Аренда'!DM17-'CF_Аренда'!DM29-'CAPEX'!DM7*IF('СРОКИ'!DM10&lt;='СРОКИ'!$B$6,1,0)-'CF_Аренда'!DM38</f>
        <v/>
      </c>
    </row>
    <row r="40">
      <c r="A40" s="36" t="inlineStr">
        <is>
          <t>Поток собственника нарастающим</t>
        </is>
      </c>
      <c r="B40" s="10" t="n"/>
      <c r="C40" s="37" t="inlineStr">
        <is>
          <t>млн ₽</t>
        </is>
      </c>
      <c r="D40" s="47">
        <f>'CF_Аренда'!D39</f>
        <v/>
      </c>
      <c r="E40" s="47">
        <f>'CF_Аренда'!D40+'CF_Аренда'!E39</f>
        <v/>
      </c>
      <c r="F40" s="47">
        <f>'CF_Аренда'!E40+'CF_Аренда'!F39</f>
        <v/>
      </c>
      <c r="G40" s="47">
        <f>'CF_Аренда'!F40+'CF_Аренда'!G39</f>
        <v/>
      </c>
      <c r="H40" s="47">
        <f>'CF_Аренда'!G40+'CF_Аренда'!H39</f>
        <v/>
      </c>
      <c r="I40" s="47">
        <f>'CF_Аренда'!H40+'CF_Аренда'!I39</f>
        <v/>
      </c>
      <c r="J40" s="47">
        <f>'CF_Аренда'!I40+'CF_Аренда'!J39</f>
        <v/>
      </c>
      <c r="K40" s="47">
        <f>'CF_Аренда'!J40+'CF_Аренда'!K39</f>
        <v/>
      </c>
      <c r="L40" s="47">
        <f>'CF_Аренда'!K40+'CF_Аренда'!L39</f>
        <v/>
      </c>
      <c r="M40" s="47">
        <f>'CF_Аренда'!L40+'CF_Аренда'!M39</f>
        <v/>
      </c>
      <c r="N40" s="47">
        <f>'CF_Аренда'!M40+'CF_Аренда'!N39</f>
        <v/>
      </c>
      <c r="O40" s="47">
        <f>'CF_Аренда'!N40+'CF_Аренда'!O39</f>
        <v/>
      </c>
      <c r="P40" s="47">
        <f>'CF_Аренда'!O40+'CF_Аренда'!P39</f>
        <v/>
      </c>
      <c r="Q40" s="47">
        <f>'CF_Аренда'!P40+'CF_Аренда'!Q39</f>
        <v/>
      </c>
      <c r="R40" s="47">
        <f>'CF_Аренда'!Q40+'CF_Аренда'!R39</f>
        <v/>
      </c>
      <c r="S40" s="47">
        <f>'CF_Аренда'!R40+'CF_Аренда'!S39</f>
        <v/>
      </c>
      <c r="T40" s="47">
        <f>'CF_Аренда'!S40+'CF_Аренда'!T39</f>
        <v/>
      </c>
      <c r="U40" s="47">
        <f>'CF_Аренда'!T40+'CF_Аренда'!U39</f>
        <v/>
      </c>
      <c r="V40" s="47">
        <f>'CF_Аренда'!U40+'CF_Аренда'!V39</f>
        <v/>
      </c>
      <c r="W40" s="47">
        <f>'CF_Аренда'!V40+'CF_Аренда'!W39</f>
        <v/>
      </c>
      <c r="X40" s="47">
        <f>'CF_Аренда'!W40+'CF_Аренда'!X39</f>
        <v/>
      </c>
      <c r="Y40" s="47">
        <f>'CF_Аренда'!X40+'CF_Аренда'!Y39</f>
        <v/>
      </c>
      <c r="Z40" s="47">
        <f>'CF_Аренда'!Y40+'CF_Аренда'!Z39</f>
        <v/>
      </c>
      <c r="AA40" s="47">
        <f>'CF_Аренда'!Z40+'CF_Аренда'!AA39</f>
        <v/>
      </c>
      <c r="AB40" s="47">
        <f>'CF_Аренда'!AA40+'CF_Аренда'!AB39</f>
        <v/>
      </c>
      <c r="AC40" s="47">
        <f>'CF_Аренда'!AB40+'CF_Аренда'!AC39</f>
        <v/>
      </c>
      <c r="AD40" s="47">
        <f>'CF_Аренда'!AC40+'CF_Аренда'!AD39</f>
        <v/>
      </c>
      <c r="AE40" s="47">
        <f>'CF_Аренда'!AD40+'CF_Аренда'!AE39</f>
        <v/>
      </c>
      <c r="AF40" s="47">
        <f>'CF_Аренда'!AE40+'CF_Аренда'!AF39</f>
        <v/>
      </c>
      <c r="AG40" s="47">
        <f>'CF_Аренда'!AF40+'CF_Аренда'!AG39</f>
        <v/>
      </c>
      <c r="AH40" s="47">
        <f>'CF_Аренда'!AG40+'CF_Аренда'!AH39</f>
        <v/>
      </c>
      <c r="AI40" s="47">
        <f>'CF_Аренда'!AH40+'CF_Аренда'!AI39</f>
        <v/>
      </c>
      <c r="AJ40" s="47">
        <f>'CF_Аренда'!AI40+'CF_Аренда'!AJ39</f>
        <v/>
      </c>
      <c r="AK40" s="47">
        <f>'CF_Аренда'!AJ40+'CF_Аренда'!AK39</f>
        <v/>
      </c>
      <c r="AL40" s="47">
        <f>'CF_Аренда'!AK40+'CF_Аренда'!AL39</f>
        <v/>
      </c>
      <c r="AM40" s="47">
        <f>'CF_Аренда'!AL40+'CF_Аренда'!AM39</f>
        <v/>
      </c>
      <c r="AN40" s="47">
        <f>'CF_Аренда'!AM40+'CF_Аренда'!AN39</f>
        <v/>
      </c>
      <c r="AO40" s="47">
        <f>'CF_Аренда'!AN40+'CF_Аренда'!AO39</f>
        <v/>
      </c>
      <c r="AP40" s="47">
        <f>'CF_Аренда'!AO40+'CF_Аренда'!AP39</f>
        <v/>
      </c>
      <c r="AQ40" s="47">
        <f>'CF_Аренда'!AP40+'CF_Аренда'!AQ39</f>
        <v/>
      </c>
      <c r="AR40" s="47">
        <f>'CF_Аренда'!AQ40+'CF_Аренда'!AR39</f>
        <v/>
      </c>
      <c r="AS40" s="47">
        <f>'CF_Аренда'!AR40+'CF_Аренда'!AS39</f>
        <v/>
      </c>
      <c r="AT40" s="47">
        <f>'CF_Аренда'!AS40+'CF_Аренда'!AT39</f>
        <v/>
      </c>
      <c r="AU40" s="47">
        <f>'CF_Аренда'!AT40+'CF_Аренда'!AU39</f>
        <v/>
      </c>
      <c r="AV40" s="47">
        <f>'CF_Аренда'!AU40+'CF_Аренда'!AV39</f>
        <v/>
      </c>
      <c r="AW40" s="47">
        <f>'CF_Аренда'!AV40+'CF_Аренда'!AW39</f>
        <v/>
      </c>
      <c r="AX40" s="47">
        <f>'CF_Аренда'!AW40+'CF_Аренда'!AX39</f>
        <v/>
      </c>
      <c r="AY40" s="47">
        <f>'CF_Аренда'!AX40+'CF_Аренда'!AY39</f>
        <v/>
      </c>
      <c r="AZ40" s="47">
        <f>'CF_Аренда'!AY40+'CF_Аренда'!AZ39</f>
        <v/>
      </c>
      <c r="BA40" s="47">
        <f>'CF_Аренда'!AZ40+'CF_Аренда'!BA39</f>
        <v/>
      </c>
      <c r="BB40" s="47">
        <f>'CF_Аренда'!BA40+'CF_Аренда'!BB39</f>
        <v/>
      </c>
      <c r="BC40" s="47">
        <f>'CF_Аренда'!BB40+'CF_Аренда'!BC39</f>
        <v/>
      </c>
      <c r="BD40" s="47">
        <f>'CF_Аренда'!BC40+'CF_Аренда'!BD39</f>
        <v/>
      </c>
      <c r="BE40" s="47">
        <f>'CF_Аренда'!BD40+'CF_Аренда'!BE39</f>
        <v/>
      </c>
      <c r="BF40" s="47">
        <f>'CF_Аренда'!BE40+'CF_Аренда'!BF39</f>
        <v/>
      </c>
      <c r="BG40" s="47">
        <f>'CF_Аренда'!BF40+'CF_Аренда'!BG39</f>
        <v/>
      </c>
      <c r="BH40" s="47">
        <f>'CF_Аренда'!BG40+'CF_Аренда'!BH39</f>
        <v/>
      </c>
      <c r="BI40" s="47">
        <f>'CF_Аренда'!BH40+'CF_Аренда'!BI39</f>
        <v/>
      </c>
      <c r="BJ40" s="47">
        <f>'CF_Аренда'!BI40+'CF_Аренда'!BJ39</f>
        <v/>
      </c>
      <c r="BK40" s="47">
        <f>'CF_Аренда'!BJ40+'CF_Аренда'!BK39</f>
        <v/>
      </c>
      <c r="BL40" s="47">
        <f>'CF_Аренда'!BK40+'CF_Аренда'!BL39</f>
        <v/>
      </c>
      <c r="BM40" s="47">
        <f>'CF_Аренда'!BL40+'CF_Аренда'!BM39</f>
        <v/>
      </c>
      <c r="BN40" s="47">
        <f>'CF_Аренда'!BM40+'CF_Аренда'!BN39</f>
        <v/>
      </c>
      <c r="BO40" s="47">
        <f>'CF_Аренда'!BN40+'CF_Аренда'!BO39</f>
        <v/>
      </c>
      <c r="BP40" s="47">
        <f>'CF_Аренда'!BO40+'CF_Аренда'!BP39</f>
        <v/>
      </c>
      <c r="BQ40" s="47">
        <f>'CF_Аренда'!BP40+'CF_Аренда'!BQ39</f>
        <v/>
      </c>
      <c r="BR40" s="47">
        <f>'CF_Аренда'!BQ40+'CF_Аренда'!BR39</f>
        <v/>
      </c>
      <c r="BS40" s="47">
        <f>'CF_Аренда'!BR40+'CF_Аренда'!BS39</f>
        <v/>
      </c>
      <c r="BT40" s="47">
        <f>'CF_Аренда'!BS40+'CF_Аренда'!BT39</f>
        <v/>
      </c>
      <c r="BU40" s="47">
        <f>'CF_Аренда'!BT40+'CF_Аренда'!BU39</f>
        <v/>
      </c>
      <c r="BV40" s="47">
        <f>'CF_Аренда'!BU40+'CF_Аренда'!BV39</f>
        <v/>
      </c>
      <c r="BW40" s="47">
        <f>'CF_Аренда'!BV40+'CF_Аренда'!BW39</f>
        <v/>
      </c>
      <c r="BX40" s="47">
        <f>'CF_Аренда'!BW40+'CF_Аренда'!BX39</f>
        <v/>
      </c>
      <c r="BY40" s="47">
        <f>'CF_Аренда'!BX40+'CF_Аренда'!BY39</f>
        <v/>
      </c>
      <c r="BZ40" s="47">
        <f>'CF_Аренда'!BY40+'CF_Аренда'!BZ39</f>
        <v/>
      </c>
      <c r="CA40" s="47">
        <f>'CF_Аренда'!BZ40+'CF_Аренда'!CA39</f>
        <v/>
      </c>
      <c r="CB40" s="47">
        <f>'CF_Аренда'!CA40+'CF_Аренда'!CB39</f>
        <v/>
      </c>
      <c r="CC40" s="47">
        <f>'CF_Аренда'!CB40+'CF_Аренда'!CC39</f>
        <v/>
      </c>
      <c r="CD40" s="47">
        <f>'CF_Аренда'!CC40+'CF_Аренда'!CD39</f>
        <v/>
      </c>
      <c r="CE40" s="47">
        <f>'CF_Аренда'!CD40+'CF_Аренда'!CE39</f>
        <v/>
      </c>
      <c r="CF40" s="47">
        <f>'CF_Аренда'!CE40+'CF_Аренда'!CF39</f>
        <v/>
      </c>
      <c r="CG40" s="47">
        <f>'CF_Аренда'!CF40+'CF_Аренда'!CG39</f>
        <v/>
      </c>
      <c r="CH40" s="47">
        <f>'CF_Аренда'!CG40+'CF_Аренда'!CH39</f>
        <v/>
      </c>
      <c r="CI40" s="47">
        <f>'CF_Аренда'!CH40+'CF_Аренда'!CI39</f>
        <v/>
      </c>
      <c r="CJ40" s="47">
        <f>'CF_Аренда'!CI40+'CF_Аренда'!CJ39</f>
        <v/>
      </c>
      <c r="CK40" s="47">
        <f>'CF_Аренда'!CJ40+'CF_Аренда'!CK39</f>
        <v/>
      </c>
      <c r="CL40" s="47">
        <f>'CF_Аренда'!CK40+'CF_Аренда'!CL39</f>
        <v/>
      </c>
      <c r="CM40" s="47">
        <f>'CF_Аренда'!CL40+'CF_Аренда'!CM39</f>
        <v/>
      </c>
      <c r="CN40" s="47">
        <f>'CF_Аренда'!CM40+'CF_Аренда'!CN39</f>
        <v/>
      </c>
      <c r="CO40" s="47">
        <f>'CF_Аренда'!CN40+'CF_Аренда'!CO39</f>
        <v/>
      </c>
      <c r="CP40" s="47">
        <f>'CF_Аренда'!CO40+'CF_Аренда'!CP39</f>
        <v/>
      </c>
      <c r="CQ40" s="47">
        <f>'CF_Аренда'!CP40+'CF_Аренда'!CQ39</f>
        <v/>
      </c>
      <c r="CR40" s="47">
        <f>'CF_Аренда'!CQ40+'CF_Аренда'!CR39</f>
        <v/>
      </c>
      <c r="CS40" s="47">
        <f>'CF_Аренда'!CR40+'CF_Аренда'!CS39</f>
        <v/>
      </c>
      <c r="CT40" s="47">
        <f>'CF_Аренда'!CS40+'CF_Аренда'!CT39</f>
        <v/>
      </c>
      <c r="CU40" s="47">
        <f>'CF_Аренда'!CT40+'CF_Аренда'!CU39</f>
        <v/>
      </c>
      <c r="CV40" s="47">
        <f>'CF_Аренда'!CU40+'CF_Аренда'!CV39</f>
        <v/>
      </c>
      <c r="CW40" s="47">
        <f>'CF_Аренда'!CV40+'CF_Аренда'!CW39</f>
        <v/>
      </c>
      <c r="CX40" s="47">
        <f>'CF_Аренда'!CW40+'CF_Аренда'!CX39</f>
        <v/>
      </c>
      <c r="CY40" s="47">
        <f>'CF_Аренда'!CX40+'CF_Аренда'!CY39</f>
        <v/>
      </c>
      <c r="CZ40" s="47">
        <f>'CF_Аренда'!CY40+'CF_Аренда'!CZ39</f>
        <v/>
      </c>
      <c r="DA40" s="47">
        <f>'CF_Аренда'!CZ40+'CF_Аренда'!DA39</f>
        <v/>
      </c>
      <c r="DB40" s="47">
        <f>'CF_Аренда'!DA40+'CF_Аренда'!DB39</f>
        <v/>
      </c>
      <c r="DC40" s="47">
        <f>'CF_Аренда'!DB40+'CF_Аренда'!DC39</f>
        <v/>
      </c>
      <c r="DD40" s="47">
        <f>'CF_Аренда'!DC40+'CF_Аренда'!DD39</f>
        <v/>
      </c>
      <c r="DE40" s="47">
        <f>'CF_Аренда'!DD40+'CF_Аренда'!DE39</f>
        <v/>
      </c>
      <c r="DF40" s="47">
        <f>'CF_Аренда'!DE40+'CF_Аренда'!DF39</f>
        <v/>
      </c>
      <c r="DG40" s="47">
        <f>'CF_Аренда'!DF40+'CF_Аренда'!DG39</f>
        <v/>
      </c>
      <c r="DH40" s="47">
        <f>'CF_Аренда'!DG40+'CF_Аренда'!DH39</f>
        <v/>
      </c>
      <c r="DI40" s="47">
        <f>'CF_Аренда'!DH40+'CF_Аренда'!DI39</f>
        <v/>
      </c>
      <c r="DJ40" s="47">
        <f>'CF_Аренда'!DI40+'CF_Аренда'!DJ39</f>
        <v/>
      </c>
      <c r="DK40" s="47">
        <f>'CF_Аренда'!DJ40+'CF_Аренда'!DK39</f>
        <v/>
      </c>
      <c r="DL40" s="47">
        <f>'CF_Аренда'!DK40+'CF_Аренда'!DL39</f>
        <v/>
      </c>
      <c r="DM40" s="47">
        <f>'CF_Аренда'!DL40+'CF_Аренда'!DM39</f>
        <v/>
      </c>
    </row>
    <row r="41">
      <c r="A41" s="36" t="inlineStr">
        <is>
          <t>Поток проекта до кредита</t>
        </is>
      </c>
      <c r="B41" s="40">
        <f>SUM(D41:DM41)</f>
        <v/>
      </c>
      <c r="C41" s="37" t="inlineStr">
        <is>
          <t>млн ₽</t>
        </is>
      </c>
      <c r="D41" s="47">
        <f>'CF_Аренда'!D7-'CF_Аренда'!D8-'CF_Аренда'!D13-'CAPEX'!D7*IF('СРОКИ'!D10&lt;='СРОКИ'!$B$6,1,0)-'CF_Аренда'!D38</f>
        <v/>
      </c>
      <c r="E41" s="47">
        <f>'CF_Аренда'!E7-'CF_Аренда'!E8-'CF_Аренда'!E13-'CAPEX'!E7*IF('СРОКИ'!E10&lt;='СРОКИ'!$B$6,1,0)-'CF_Аренда'!E38</f>
        <v/>
      </c>
      <c r="F41" s="47">
        <f>'CF_Аренда'!F7-'CF_Аренда'!F8-'CF_Аренда'!F13-'CAPEX'!F7*IF('СРОКИ'!F10&lt;='СРОКИ'!$B$6,1,0)-'CF_Аренда'!F38</f>
        <v/>
      </c>
      <c r="G41" s="47">
        <f>'CF_Аренда'!G7-'CF_Аренда'!G8-'CF_Аренда'!G13-'CAPEX'!G7*IF('СРОКИ'!G10&lt;='СРОКИ'!$B$6,1,0)-'CF_Аренда'!G38</f>
        <v/>
      </c>
      <c r="H41" s="47">
        <f>'CF_Аренда'!H7-'CF_Аренда'!H8-'CF_Аренда'!H13-'CAPEX'!H7*IF('СРОКИ'!H10&lt;='СРОКИ'!$B$6,1,0)-'CF_Аренда'!H38</f>
        <v/>
      </c>
      <c r="I41" s="47">
        <f>'CF_Аренда'!I7-'CF_Аренда'!I8-'CF_Аренда'!I13-'CAPEX'!I7*IF('СРОКИ'!I10&lt;='СРОКИ'!$B$6,1,0)-'CF_Аренда'!I38</f>
        <v/>
      </c>
      <c r="J41" s="47">
        <f>'CF_Аренда'!J7-'CF_Аренда'!J8-'CF_Аренда'!J13-'CAPEX'!J7*IF('СРОКИ'!J10&lt;='СРОКИ'!$B$6,1,0)-'CF_Аренда'!J38</f>
        <v/>
      </c>
      <c r="K41" s="47">
        <f>'CF_Аренда'!K7-'CF_Аренда'!K8-'CF_Аренда'!K13-'CAPEX'!K7*IF('СРОКИ'!K10&lt;='СРОКИ'!$B$6,1,0)-'CF_Аренда'!K38</f>
        <v/>
      </c>
      <c r="L41" s="47">
        <f>'CF_Аренда'!L7-'CF_Аренда'!L8-'CF_Аренда'!L13-'CAPEX'!L7*IF('СРОКИ'!L10&lt;='СРОКИ'!$B$6,1,0)-'CF_Аренда'!L38</f>
        <v/>
      </c>
      <c r="M41" s="47">
        <f>'CF_Аренда'!M7-'CF_Аренда'!M8-'CF_Аренда'!M13-'CAPEX'!M7*IF('СРОКИ'!M10&lt;='СРОКИ'!$B$6,1,0)-'CF_Аренда'!M38</f>
        <v/>
      </c>
      <c r="N41" s="47">
        <f>'CF_Аренда'!N7-'CF_Аренда'!N8-'CF_Аренда'!N13-'CAPEX'!N7*IF('СРОКИ'!N10&lt;='СРОКИ'!$B$6,1,0)-'CF_Аренда'!N38</f>
        <v/>
      </c>
      <c r="O41" s="47">
        <f>'CF_Аренда'!O7-'CF_Аренда'!O8-'CF_Аренда'!O13-'CAPEX'!O7*IF('СРОКИ'!O10&lt;='СРОКИ'!$B$6,1,0)-'CF_Аренда'!O38</f>
        <v/>
      </c>
      <c r="P41" s="47">
        <f>'CF_Аренда'!P7-'CF_Аренда'!P8-'CF_Аренда'!P13-'CAPEX'!P7*IF('СРОКИ'!P10&lt;='СРОКИ'!$B$6,1,0)-'CF_Аренда'!P38</f>
        <v/>
      </c>
      <c r="Q41" s="47">
        <f>'CF_Аренда'!Q7-'CF_Аренда'!Q8-'CF_Аренда'!Q13-'CAPEX'!Q7*IF('СРОКИ'!Q10&lt;='СРОКИ'!$B$6,1,0)-'CF_Аренда'!Q38</f>
        <v/>
      </c>
      <c r="R41" s="47">
        <f>'CF_Аренда'!R7-'CF_Аренда'!R8-'CF_Аренда'!R13-'CAPEX'!R7*IF('СРОКИ'!R10&lt;='СРОКИ'!$B$6,1,0)-'CF_Аренда'!R38</f>
        <v/>
      </c>
      <c r="S41" s="47">
        <f>'CF_Аренда'!S7-'CF_Аренда'!S8-'CF_Аренда'!S13-'CAPEX'!S7*IF('СРОКИ'!S10&lt;='СРОКИ'!$B$6,1,0)-'CF_Аренда'!S38</f>
        <v/>
      </c>
      <c r="T41" s="47">
        <f>'CF_Аренда'!T7-'CF_Аренда'!T8-'CF_Аренда'!T13-'CAPEX'!T7*IF('СРОКИ'!T10&lt;='СРОКИ'!$B$6,1,0)-'CF_Аренда'!T38</f>
        <v/>
      </c>
      <c r="U41" s="47">
        <f>'CF_Аренда'!U7-'CF_Аренда'!U8-'CF_Аренда'!U13-'CAPEX'!U7*IF('СРОКИ'!U10&lt;='СРОКИ'!$B$6,1,0)-'CF_Аренда'!U38</f>
        <v/>
      </c>
      <c r="V41" s="47">
        <f>'CF_Аренда'!V7-'CF_Аренда'!V8-'CF_Аренда'!V13-'CAPEX'!V7*IF('СРОКИ'!V10&lt;='СРОКИ'!$B$6,1,0)-'CF_Аренда'!V38</f>
        <v/>
      </c>
      <c r="W41" s="47">
        <f>'CF_Аренда'!W7-'CF_Аренда'!W8-'CF_Аренда'!W13-'CAPEX'!W7*IF('СРОКИ'!W10&lt;='СРОКИ'!$B$6,1,0)-'CF_Аренда'!W38</f>
        <v/>
      </c>
      <c r="X41" s="47">
        <f>'CF_Аренда'!X7-'CF_Аренда'!X8-'CF_Аренда'!X13-'CAPEX'!X7*IF('СРОКИ'!X10&lt;='СРОКИ'!$B$6,1,0)-'CF_Аренда'!X38</f>
        <v/>
      </c>
      <c r="Y41" s="47">
        <f>'CF_Аренда'!Y7-'CF_Аренда'!Y8-'CF_Аренда'!Y13-'CAPEX'!Y7*IF('СРОКИ'!Y10&lt;='СРОКИ'!$B$6,1,0)-'CF_Аренда'!Y38</f>
        <v/>
      </c>
      <c r="Z41" s="47">
        <f>'CF_Аренда'!Z7-'CF_Аренда'!Z8-'CF_Аренда'!Z13-'CAPEX'!Z7*IF('СРОКИ'!Z10&lt;='СРОКИ'!$B$6,1,0)-'CF_Аренда'!Z38</f>
        <v/>
      </c>
      <c r="AA41" s="47">
        <f>'CF_Аренда'!AA7-'CF_Аренда'!AA8-'CF_Аренда'!AA13-'CAPEX'!AA7*IF('СРОКИ'!AA10&lt;='СРОКИ'!$B$6,1,0)-'CF_Аренда'!AA38</f>
        <v/>
      </c>
      <c r="AB41" s="47">
        <f>'CF_Аренда'!AB7-'CF_Аренда'!AB8-'CF_Аренда'!AB13-'CAPEX'!AB7*IF('СРОКИ'!AB10&lt;='СРОКИ'!$B$6,1,0)-'CF_Аренда'!AB38</f>
        <v/>
      </c>
      <c r="AC41" s="47">
        <f>'CF_Аренда'!AC7-'CF_Аренда'!AC8-'CF_Аренда'!AC13-'CAPEX'!AC7*IF('СРОКИ'!AC10&lt;='СРОКИ'!$B$6,1,0)-'CF_Аренда'!AC38</f>
        <v/>
      </c>
      <c r="AD41" s="47">
        <f>'CF_Аренда'!AD7-'CF_Аренда'!AD8-'CF_Аренда'!AD13-'CAPEX'!AD7*IF('СРОКИ'!AD10&lt;='СРОКИ'!$B$6,1,0)-'CF_Аренда'!AD38</f>
        <v/>
      </c>
      <c r="AE41" s="47">
        <f>'CF_Аренда'!AE7-'CF_Аренда'!AE8-'CF_Аренда'!AE13-'CAPEX'!AE7*IF('СРОКИ'!AE10&lt;='СРОКИ'!$B$6,1,0)-'CF_Аренда'!AE38</f>
        <v/>
      </c>
      <c r="AF41" s="47">
        <f>'CF_Аренда'!AF7-'CF_Аренда'!AF8-'CF_Аренда'!AF13-'CAPEX'!AF7*IF('СРОКИ'!AF10&lt;='СРОКИ'!$B$6,1,0)-'CF_Аренда'!AF38</f>
        <v/>
      </c>
      <c r="AG41" s="47">
        <f>'CF_Аренда'!AG7-'CF_Аренда'!AG8-'CF_Аренда'!AG13-'CAPEX'!AG7*IF('СРОКИ'!AG10&lt;='СРОКИ'!$B$6,1,0)-'CF_Аренда'!AG38</f>
        <v/>
      </c>
      <c r="AH41" s="47">
        <f>'CF_Аренда'!AH7-'CF_Аренда'!AH8-'CF_Аренда'!AH13-'CAPEX'!AH7*IF('СРОКИ'!AH10&lt;='СРОКИ'!$B$6,1,0)-'CF_Аренда'!AH38</f>
        <v/>
      </c>
      <c r="AI41" s="47">
        <f>'CF_Аренда'!AI7-'CF_Аренда'!AI8-'CF_Аренда'!AI13-'CAPEX'!AI7*IF('СРОКИ'!AI10&lt;='СРОКИ'!$B$6,1,0)-'CF_Аренда'!AI38</f>
        <v/>
      </c>
      <c r="AJ41" s="47">
        <f>'CF_Аренда'!AJ7-'CF_Аренда'!AJ8-'CF_Аренда'!AJ13-'CAPEX'!AJ7*IF('СРОКИ'!AJ10&lt;='СРОКИ'!$B$6,1,0)-'CF_Аренда'!AJ38</f>
        <v/>
      </c>
      <c r="AK41" s="47">
        <f>'CF_Аренда'!AK7-'CF_Аренда'!AK8-'CF_Аренда'!AK13-'CAPEX'!AK7*IF('СРОКИ'!AK10&lt;='СРОКИ'!$B$6,1,0)-'CF_Аренда'!AK38</f>
        <v/>
      </c>
      <c r="AL41" s="47">
        <f>'CF_Аренда'!AL7-'CF_Аренда'!AL8-'CF_Аренда'!AL13-'CAPEX'!AL7*IF('СРОКИ'!AL10&lt;='СРОКИ'!$B$6,1,0)-'CF_Аренда'!AL38</f>
        <v/>
      </c>
      <c r="AM41" s="47">
        <f>'CF_Аренда'!AM7-'CF_Аренда'!AM8-'CF_Аренда'!AM13-'CAPEX'!AM7*IF('СРОКИ'!AM10&lt;='СРОКИ'!$B$6,1,0)-'CF_Аренда'!AM38</f>
        <v/>
      </c>
      <c r="AN41" s="47">
        <f>'CF_Аренда'!AN7-'CF_Аренда'!AN8-'CF_Аренда'!AN13-'CAPEX'!AN7*IF('СРОКИ'!AN10&lt;='СРОКИ'!$B$6,1,0)-'CF_Аренда'!AN38</f>
        <v/>
      </c>
      <c r="AO41" s="47">
        <f>'CF_Аренда'!AO7-'CF_Аренда'!AO8-'CF_Аренда'!AO13-'CAPEX'!AO7*IF('СРОКИ'!AO10&lt;='СРОКИ'!$B$6,1,0)-'CF_Аренда'!AO38</f>
        <v/>
      </c>
      <c r="AP41" s="47">
        <f>'CF_Аренда'!AP7-'CF_Аренда'!AP8-'CF_Аренда'!AP13-'CAPEX'!AP7*IF('СРОКИ'!AP10&lt;='СРОКИ'!$B$6,1,0)-'CF_Аренда'!AP38</f>
        <v/>
      </c>
      <c r="AQ41" s="47">
        <f>'CF_Аренда'!AQ7-'CF_Аренда'!AQ8-'CF_Аренда'!AQ13-'CAPEX'!AQ7*IF('СРОКИ'!AQ10&lt;='СРОКИ'!$B$6,1,0)-'CF_Аренда'!AQ38</f>
        <v/>
      </c>
      <c r="AR41" s="47">
        <f>'CF_Аренда'!AR7-'CF_Аренда'!AR8-'CF_Аренда'!AR13-'CAPEX'!AR7*IF('СРОКИ'!AR10&lt;='СРОКИ'!$B$6,1,0)-'CF_Аренда'!AR38</f>
        <v/>
      </c>
      <c r="AS41" s="47">
        <f>'CF_Аренда'!AS7-'CF_Аренда'!AS8-'CF_Аренда'!AS13-'CAPEX'!AS7*IF('СРОКИ'!AS10&lt;='СРОКИ'!$B$6,1,0)-'CF_Аренда'!AS38</f>
        <v/>
      </c>
      <c r="AT41" s="47">
        <f>'CF_Аренда'!AT7-'CF_Аренда'!AT8-'CF_Аренда'!AT13-'CAPEX'!AT7*IF('СРОКИ'!AT10&lt;='СРОКИ'!$B$6,1,0)-'CF_Аренда'!AT38</f>
        <v/>
      </c>
      <c r="AU41" s="47">
        <f>'CF_Аренда'!AU7-'CF_Аренда'!AU8-'CF_Аренда'!AU13-'CAPEX'!AU7*IF('СРОКИ'!AU10&lt;='СРОКИ'!$B$6,1,0)-'CF_Аренда'!AU38</f>
        <v/>
      </c>
      <c r="AV41" s="47">
        <f>'CF_Аренда'!AV7-'CF_Аренда'!AV8-'CF_Аренда'!AV13-'CAPEX'!AV7*IF('СРОКИ'!AV10&lt;='СРОКИ'!$B$6,1,0)-'CF_Аренда'!AV38</f>
        <v/>
      </c>
      <c r="AW41" s="47">
        <f>'CF_Аренда'!AW7-'CF_Аренда'!AW8-'CF_Аренда'!AW13-'CAPEX'!AW7*IF('СРОКИ'!AW10&lt;='СРОКИ'!$B$6,1,0)-'CF_Аренда'!AW38</f>
        <v/>
      </c>
      <c r="AX41" s="47">
        <f>'CF_Аренда'!AX7-'CF_Аренда'!AX8-'CF_Аренда'!AX13-'CAPEX'!AX7*IF('СРОКИ'!AX10&lt;='СРОКИ'!$B$6,1,0)-'CF_Аренда'!AX38</f>
        <v/>
      </c>
      <c r="AY41" s="47">
        <f>'CF_Аренда'!AY7-'CF_Аренда'!AY8-'CF_Аренда'!AY13-'CAPEX'!AY7*IF('СРОКИ'!AY10&lt;='СРОКИ'!$B$6,1,0)-'CF_Аренда'!AY38</f>
        <v/>
      </c>
      <c r="AZ41" s="47">
        <f>'CF_Аренда'!AZ7-'CF_Аренда'!AZ8-'CF_Аренда'!AZ13-'CAPEX'!AZ7*IF('СРОКИ'!AZ10&lt;='СРОКИ'!$B$6,1,0)-'CF_Аренда'!AZ38</f>
        <v/>
      </c>
      <c r="BA41" s="47">
        <f>'CF_Аренда'!BA7-'CF_Аренда'!BA8-'CF_Аренда'!BA13-'CAPEX'!BA7*IF('СРОКИ'!BA10&lt;='СРОКИ'!$B$6,1,0)-'CF_Аренда'!BA38</f>
        <v/>
      </c>
      <c r="BB41" s="47">
        <f>'CF_Аренда'!BB7-'CF_Аренда'!BB8-'CF_Аренда'!BB13-'CAPEX'!BB7*IF('СРОКИ'!BB10&lt;='СРОКИ'!$B$6,1,0)-'CF_Аренда'!BB38</f>
        <v/>
      </c>
      <c r="BC41" s="47">
        <f>'CF_Аренда'!BC7-'CF_Аренда'!BC8-'CF_Аренда'!BC13-'CAPEX'!BC7*IF('СРОКИ'!BC10&lt;='СРОКИ'!$B$6,1,0)-'CF_Аренда'!BC38</f>
        <v/>
      </c>
      <c r="BD41" s="47">
        <f>'CF_Аренда'!BD7-'CF_Аренда'!BD8-'CF_Аренда'!BD13-'CAPEX'!BD7*IF('СРОКИ'!BD10&lt;='СРОКИ'!$B$6,1,0)-'CF_Аренда'!BD38</f>
        <v/>
      </c>
      <c r="BE41" s="47">
        <f>'CF_Аренда'!BE7-'CF_Аренда'!BE8-'CF_Аренда'!BE13-'CAPEX'!BE7*IF('СРОКИ'!BE10&lt;='СРОКИ'!$B$6,1,0)-'CF_Аренда'!BE38</f>
        <v/>
      </c>
      <c r="BF41" s="47">
        <f>'CF_Аренда'!BF7-'CF_Аренда'!BF8-'CF_Аренда'!BF13-'CAPEX'!BF7*IF('СРОКИ'!BF10&lt;='СРОКИ'!$B$6,1,0)-'CF_Аренда'!BF38</f>
        <v/>
      </c>
      <c r="BG41" s="47">
        <f>'CF_Аренда'!BG7-'CF_Аренда'!BG8-'CF_Аренда'!BG13-'CAPEX'!BG7*IF('СРОКИ'!BG10&lt;='СРОКИ'!$B$6,1,0)-'CF_Аренда'!BG38</f>
        <v/>
      </c>
      <c r="BH41" s="47">
        <f>'CF_Аренда'!BH7-'CF_Аренда'!BH8-'CF_Аренда'!BH13-'CAPEX'!BH7*IF('СРОКИ'!BH10&lt;='СРОКИ'!$B$6,1,0)-'CF_Аренда'!BH38</f>
        <v/>
      </c>
      <c r="BI41" s="47">
        <f>'CF_Аренда'!BI7-'CF_Аренда'!BI8-'CF_Аренда'!BI13-'CAPEX'!BI7*IF('СРОКИ'!BI10&lt;='СРОКИ'!$B$6,1,0)-'CF_Аренда'!BI38</f>
        <v/>
      </c>
      <c r="BJ41" s="47">
        <f>'CF_Аренда'!BJ7-'CF_Аренда'!BJ8-'CF_Аренда'!BJ13-'CAPEX'!BJ7*IF('СРОКИ'!BJ10&lt;='СРОКИ'!$B$6,1,0)-'CF_Аренда'!BJ38</f>
        <v/>
      </c>
      <c r="BK41" s="47">
        <f>'CF_Аренда'!BK7-'CF_Аренда'!BK8-'CF_Аренда'!BK13-'CAPEX'!BK7*IF('СРОКИ'!BK10&lt;='СРОКИ'!$B$6,1,0)-'CF_Аренда'!BK38</f>
        <v/>
      </c>
      <c r="BL41" s="47">
        <f>'CF_Аренда'!BL7-'CF_Аренда'!BL8-'CF_Аренда'!BL13-'CAPEX'!BL7*IF('СРОКИ'!BL10&lt;='СРОКИ'!$B$6,1,0)-'CF_Аренда'!BL38</f>
        <v/>
      </c>
      <c r="BM41" s="47">
        <f>'CF_Аренда'!BM7-'CF_Аренда'!BM8-'CF_Аренда'!BM13-'CAPEX'!BM7*IF('СРОКИ'!BM10&lt;='СРОКИ'!$B$6,1,0)-'CF_Аренда'!BM38</f>
        <v/>
      </c>
      <c r="BN41" s="47">
        <f>'CF_Аренда'!BN7-'CF_Аренда'!BN8-'CF_Аренда'!BN13-'CAPEX'!BN7*IF('СРОКИ'!BN10&lt;='СРОКИ'!$B$6,1,0)-'CF_Аренда'!BN38</f>
        <v/>
      </c>
      <c r="BO41" s="47">
        <f>'CF_Аренда'!BO7-'CF_Аренда'!BO8-'CF_Аренда'!BO13-'CAPEX'!BO7*IF('СРОКИ'!BO10&lt;='СРОКИ'!$B$6,1,0)-'CF_Аренда'!BO38</f>
        <v/>
      </c>
      <c r="BP41" s="47">
        <f>'CF_Аренда'!BP7-'CF_Аренда'!BP8-'CF_Аренда'!BP13-'CAPEX'!BP7*IF('СРОКИ'!BP10&lt;='СРОКИ'!$B$6,1,0)-'CF_Аренда'!BP38</f>
        <v/>
      </c>
      <c r="BQ41" s="47">
        <f>'CF_Аренда'!BQ7-'CF_Аренда'!BQ8-'CF_Аренда'!BQ13-'CAPEX'!BQ7*IF('СРОКИ'!BQ10&lt;='СРОКИ'!$B$6,1,0)-'CF_Аренда'!BQ38</f>
        <v/>
      </c>
      <c r="BR41" s="47">
        <f>'CF_Аренда'!BR7-'CF_Аренда'!BR8-'CF_Аренда'!BR13-'CAPEX'!BR7*IF('СРОКИ'!BR10&lt;='СРОКИ'!$B$6,1,0)-'CF_Аренда'!BR38</f>
        <v/>
      </c>
      <c r="BS41" s="47">
        <f>'CF_Аренда'!BS7-'CF_Аренда'!BS8-'CF_Аренда'!BS13-'CAPEX'!BS7*IF('СРОКИ'!BS10&lt;='СРОКИ'!$B$6,1,0)-'CF_Аренда'!BS38</f>
        <v/>
      </c>
      <c r="BT41" s="47">
        <f>'CF_Аренда'!BT7-'CF_Аренда'!BT8-'CF_Аренда'!BT13-'CAPEX'!BT7*IF('СРОКИ'!BT10&lt;='СРОКИ'!$B$6,1,0)-'CF_Аренда'!BT38</f>
        <v/>
      </c>
      <c r="BU41" s="47">
        <f>'CF_Аренда'!BU7-'CF_Аренда'!BU8-'CF_Аренда'!BU13-'CAPEX'!BU7*IF('СРОКИ'!BU10&lt;='СРОКИ'!$B$6,1,0)-'CF_Аренда'!BU38</f>
        <v/>
      </c>
      <c r="BV41" s="47">
        <f>'CF_Аренда'!BV7-'CF_Аренда'!BV8-'CF_Аренда'!BV13-'CAPEX'!BV7*IF('СРОКИ'!BV10&lt;='СРОКИ'!$B$6,1,0)-'CF_Аренда'!BV38</f>
        <v/>
      </c>
      <c r="BW41" s="47">
        <f>'CF_Аренда'!BW7-'CF_Аренда'!BW8-'CF_Аренда'!BW13-'CAPEX'!BW7*IF('СРОКИ'!BW10&lt;='СРОКИ'!$B$6,1,0)-'CF_Аренда'!BW38</f>
        <v/>
      </c>
      <c r="BX41" s="47">
        <f>'CF_Аренда'!BX7-'CF_Аренда'!BX8-'CF_Аренда'!BX13-'CAPEX'!BX7*IF('СРОКИ'!BX10&lt;='СРОКИ'!$B$6,1,0)-'CF_Аренда'!BX38</f>
        <v/>
      </c>
      <c r="BY41" s="47">
        <f>'CF_Аренда'!BY7-'CF_Аренда'!BY8-'CF_Аренда'!BY13-'CAPEX'!BY7*IF('СРОКИ'!BY10&lt;='СРОКИ'!$B$6,1,0)-'CF_Аренда'!BY38</f>
        <v/>
      </c>
      <c r="BZ41" s="47">
        <f>'CF_Аренда'!BZ7-'CF_Аренда'!BZ8-'CF_Аренда'!BZ13-'CAPEX'!BZ7*IF('СРОКИ'!BZ10&lt;='СРОКИ'!$B$6,1,0)-'CF_Аренда'!BZ38</f>
        <v/>
      </c>
      <c r="CA41" s="47">
        <f>'CF_Аренда'!CA7-'CF_Аренда'!CA8-'CF_Аренда'!CA13-'CAPEX'!CA7*IF('СРОКИ'!CA10&lt;='СРОКИ'!$B$6,1,0)-'CF_Аренда'!CA38</f>
        <v/>
      </c>
      <c r="CB41" s="47">
        <f>'CF_Аренда'!CB7-'CF_Аренда'!CB8-'CF_Аренда'!CB13-'CAPEX'!CB7*IF('СРОКИ'!CB10&lt;='СРОКИ'!$B$6,1,0)-'CF_Аренда'!CB38</f>
        <v/>
      </c>
      <c r="CC41" s="47">
        <f>'CF_Аренда'!CC7-'CF_Аренда'!CC8-'CF_Аренда'!CC13-'CAPEX'!CC7*IF('СРОКИ'!CC10&lt;='СРОКИ'!$B$6,1,0)-'CF_Аренда'!CC38</f>
        <v/>
      </c>
      <c r="CD41" s="47">
        <f>'CF_Аренда'!CD7-'CF_Аренда'!CD8-'CF_Аренда'!CD13-'CAPEX'!CD7*IF('СРОКИ'!CD10&lt;='СРОКИ'!$B$6,1,0)-'CF_Аренда'!CD38</f>
        <v/>
      </c>
      <c r="CE41" s="47">
        <f>'CF_Аренда'!CE7-'CF_Аренда'!CE8-'CF_Аренда'!CE13-'CAPEX'!CE7*IF('СРОКИ'!CE10&lt;='СРОКИ'!$B$6,1,0)-'CF_Аренда'!CE38</f>
        <v/>
      </c>
      <c r="CF41" s="47">
        <f>'CF_Аренда'!CF7-'CF_Аренда'!CF8-'CF_Аренда'!CF13-'CAPEX'!CF7*IF('СРОКИ'!CF10&lt;='СРОКИ'!$B$6,1,0)-'CF_Аренда'!CF38</f>
        <v/>
      </c>
      <c r="CG41" s="47">
        <f>'CF_Аренда'!CG7-'CF_Аренда'!CG8-'CF_Аренда'!CG13-'CAPEX'!CG7*IF('СРОКИ'!CG10&lt;='СРОКИ'!$B$6,1,0)-'CF_Аренда'!CG38</f>
        <v/>
      </c>
      <c r="CH41" s="47">
        <f>'CF_Аренда'!CH7-'CF_Аренда'!CH8-'CF_Аренда'!CH13-'CAPEX'!CH7*IF('СРОКИ'!CH10&lt;='СРОКИ'!$B$6,1,0)-'CF_Аренда'!CH38</f>
        <v/>
      </c>
      <c r="CI41" s="47">
        <f>'CF_Аренда'!CI7-'CF_Аренда'!CI8-'CF_Аренда'!CI13-'CAPEX'!CI7*IF('СРОКИ'!CI10&lt;='СРОКИ'!$B$6,1,0)-'CF_Аренда'!CI38</f>
        <v/>
      </c>
      <c r="CJ41" s="47">
        <f>'CF_Аренда'!CJ7-'CF_Аренда'!CJ8-'CF_Аренда'!CJ13-'CAPEX'!CJ7*IF('СРОКИ'!CJ10&lt;='СРОКИ'!$B$6,1,0)-'CF_Аренда'!CJ38</f>
        <v/>
      </c>
      <c r="CK41" s="47">
        <f>'CF_Аренда'!CK7-'CF_Аренда'!CK8-'CF_Аренда'!CK13-'CAPEX'!CK7*IF('СРОКИ'!CK10&lt;='СРОКИ'!$B$6,1,0)-'CF_Аренда'!CK38</f>
        <v/>
      </c>
      <c r="CL41" s="47">
        <f>'CF_Аренда'!CL7-'CF_Аренда'!CL8-'CF_Аренда'!CL13-'CAPEX'!CL7*IF('СРОКИ'!CL10&lt;='СРОКИ'!$B$6,1,0)-'CF_Аренда'!CL38</f>
        <v/>
      </c>
      <c r="CM41" s="47">
        <f>'CF_Аренда'!CM7-'CF_Аренда'!CM8-'CF_Аренда'!CM13-'CAPEX'!CM7*IF('СРОКИ'!CM10&lt;='СРОКИ'!$B$6,1,0)-'CF_Аренда'!CM38</f>
        <v/>
      </c>
      <c r="CN41" s="47">
        <f>'CF_Аренда'!CN7-'CF_Аренда'!CN8-'CF_Аренда'!CN13-'CAPEX'!CN7*IF('СРОКИ'!CN10&lt;='СРОКИ'!$B$6,1,0)-'CF_Аренда'!CN38</f>
        <v/>
      </c>
      <c r="CO41" s="47">
        <f>'CF_Аренда'!CO7-'CF_Аренда'!CO8-'CF_Аренда'!CO13-'CAPEX'!CO7*IF('СРОКИ'!CO10&lt;='СРОКИ'!$B$6,1,0)-'CF_Аренда'!CO38</f>
        <v/>
      </c>
      <c r="CP41" s="47">
        <f>'CF_Аренда'!CP7-'CF_Аренда'!CP8-'CF_Аренда'!CP13-'CAPEX'!CP7*IF('СРОКИ'!CP10&lt;='СРОКИ'!$B$6,1,0)-'CF_Аренда'!CP38</f>
        <v/>
      </c>
      <c r="CQ41" s="47">
        <f>'CF_Аренда'!CQ7-'CF_Аренда'!CQ8-'CF_Аренда'!CQ13-'CAPEX'!CQ7*IF('СРОКИ'!CQ10&lt;='СРОКИ'!$B$6,1,0)-'CF_Аренда'!CQ38</f>
        <v/>
      </c>
      <c r="CR41" s="47">
        <f>'CF_Аренда'!CR7-'CF_Аренда'!CR8-'CF_Аренда'!CR13-'CAPEX'!CR7*IF('СРОКИ'!CR10&lt;='СРОКИ'!$B$6,1,0)-'CF_Аренда'!CR38</f>
        <v/>
      </c>
      <c r="CS41" s="47">
        <f>'CF_Аренда'!CS7-'CF_Аренда'!CS8-'CF_Аренда'!CS13-'CAPEX'!CS7*IF('СРОКИ'!CS10&lt;='СРОКИ'!$B$6,1,0)-'CF_Аренда'!CS38</f>
        <v/>
      </c>
      <c r="CT41" s="47">
        <f>'CF_Аренда'!CT7-'CF_Аренда'!CT8-'CF_Аренда'!CT13-'CAPEX'!CT7*IF('СРОКИ'!CT10&lt;='СРОКИ'!$B$6,1,0)-'CF_Аренда'!CT38</f>
        <v/>
      </c>
      <c r="CU41" s="47">
        <f>'CF_Аренда'!CU7-'CF_Аренда'!CU8-'CF_Аренда'!CU13-'CAPEX'!CU7*IF('СРОКИ'!CU10&lt;='СРОКИ'!$B$6,1,0)-'CF_Аренда'!CU38</f>
        <v/>
      </c>
      <c r="CV41" s="47">
        <f>'CF_Аренда'!CV7-'CF_Аренда'!CV8-'CF_Аренда'!CV13-'CAPEX'!CV7*IF('СРОКИ'!CV10&lt;='СРОКИ'!$B$6,1,0)-'CF_Аренда'!CV38</f>
        <v/>
      </c>
      <c r="CW41" s="47">
        <f>'CF_Аренда'!CW7-'CF_Аренда'!CW8-'CF_Аренда'!CW13-'CAPEX'!CW7*IF('СРОКИ'!CW10&lt;='СРОКИ'!$B$6,1,0)-'CF_Аренда'!CW38</f>
        <v/>
      </c>
      <c r="CX41" s="47">
        <f>'CF_Аренда'!CX7-'CF_Аренда'!CX8-'CF_Аренда'!CX13-'CAPEX'!CX7*IF('СРОКИ'!CX10&lt;='СРОКИ'!$B$6,1,0)-'CF_Аренда'!CX38</f>
        <v/>
      </c>
      <c r="CY41" s="47">
        <f>'CF_Аренда'!CY7-'CF_Аренда'!CY8-'CF_Аренда'!CY13-'CAPEX'!CY7*IF('СРОКИ'!CY10&lt;='СРОКИ'!$B$6,1,0)-'CF_Аренда'!CY38</f>
        <v/>
      </c>
      <c r="CZ41" s="47">
        <f>'CF_Аренда'!CZ7-'CF_Аренда'!CZ8-'CF_Аренда'!CZ13-'CAPEX'!CZ7*IF('СРОКИ'!CZ10&lt;='СРОКИ'!$B$6,1,0)-'CF_Аренда'!CZ38</f>
        <v/>
      </c>
      <c r="DA41" s="47">
        <f>'CF_Аренда'!DA7-'CF_Аренда'!DA8-'CF_Аренда'!DA13-'CAPEX'!DA7*IF('СРОКИ'!DA10&lt;='СРОКИ'!$B$6,1,0)-'CF_Аренда'!DA38</f>
        <v/>
      </c>
      <c r="DB41" s="47">
        <f>'CF_Аренда'!DB7-'CF_Аренда'!DB8-'CF_Аренда'!DB13-'CAPEX'!DB7*IF('СРОКИ'!DB10&lt;='СРОКИ'!$B$6,1,0)-'CF_Аренда'!DB38</f>
        <v/>
      </c>
      <c r="DC41" s="47">
        <f>'CF_Аренда'!DC7-'CF_Аренда'!DC8-'CF_Аренда'!DC13-'CAPEX'!DC7*IF('СРОКИ'!DC10&lt;='СРОКИ'!$B$6,1,0)-'CF_Аренда'!DC38</f>
        <v/>
      </c>
      <c r="DD41" s="47">
        <f>'CF_Аренда'!DD7-'CF_Аренда'!DD8-'CF_Аренда'!DD13-'CAPEX'!DD7*IF('СРОКИ'!DD10&lt;='СРОКИ'!$B$6,1,0)-'CF_Аренда'!DD38</f>
        <v/>
      </c>
      <c r="DE41" s="47">
        <f>'CF_Аренда'!DE7-'CF_Аренда'!DE8-'CF_Аренда'!DE13-'CAPEX'!DE7*IF('СРОКИ'!DE10&lt;='СРОКИ'!$B$6,1,0)-'CF_Аренда'!DE38</f>
        <v/>
      </c>
      <c r="DF41" s="47">
        <f>'CF_Аренда'!DF7-'CF_Аренда'!DF8-'CF_Аренда'!DF13-'CAPEX'!DF7*IF('СРОКИ'!DF10&lt;='СРОКИ'!$B$6,1,0)-'CF_Аренда'!DF38</f>
        <v/>
      </c>
      <c r="DG41" s="47">
        <f>'CF_Аренда'!DG7-'CF_Аренда'!DG8-'CF_Аренда'!DG13-'CAPEX'!DG7*IF('СРОКИ'!DG10&lt;='СРОКИ'!$B$6,1,0)-'CF_Аренда'!DG38</f>
        <v/>
      </c>
      <c r="DH41" s="47">
        <f>'CF_Аренда'!DH7-'CF_Аренда'!DH8-'CF_Аренда'!DH13-'CAPEX'!DH7*IF('СРОКИ'!DH10&lt;='СРОКИ'!$B$6,1,0)-'CF_Аренда'!DH38</f>
        <v/>
      </c>
      <c r="DI41" s="47">
        <f>'CF_Аренда'!DI7-'CF_Аренда'!DI8-'CF_Аренда'!DI13-'CAPEX'!DI7*IF('СРОКИ'!DI10&lt;='СРОКИ'!$B$6,1,0)-'CF_Аренда'!DI38</f>
        <v/>
      </c>
      <c r="DJ41" s="47">
        <f>'CF_Аренда'!DJ7-'CF_Аренда'!DJ8-'CF_Аренда'!DJ13-'CAPEX'!DJ7*IF('СРОКИ'!DJ10&lt;='СРОКИ'!$B$6,1,0)-'CF_Аренда'!DJ38</f>
        <v/>
      </c>
      <c r="DK41" s="47">
        <f>'CF_Аренда'!DK7-'CF_Аренда'!DK8-'CF_Аренда'!DK13-'CAPEX'!DK7*IF('СРОКИ'!DK10&lt;='СРОКИ'!$B$6,1,0)-'CF_Аренда'!DK38</f>
        <v/>
      </c>
      <c r="DL41" s="47">
        <f>'CF_Аренда'!DL7-'CF_Аренда'!DL8-'CF_Аренда'!DL13-'CAPEX'!DL7*IF('СРОКИ'!DL10&lt;='СРОКИ'!$B$6,1,0)-'CF_Аренда'!DL38</f>
        <v/>
      </c>
      <c r="DM41" s="47">
        <f>'CF_Аренда'!DM7-'CF_Аренда'!DM8-'CF_Аренда'!DM13-'CAPEX'!DM7*IF('СРОКИ'!DM10&lt;='СРОКИ'!$B$6,1,0)-'CF_Аренда'!DM38</f>
        <v/>
      </c>
    </row>
    <row r="42">
      <c r="A42" s="36" t="inlineStr">
        <is>
          <t>Множитель дисконтирования</t>
        </is>
      </c>
      <c r="B42" s="10" t="n"/>
      <c r="C42" s="37" t="inlineStr">
        <is>
          <t>×</t>
        </is>
      </c>
      <c r="D42" s="45">
        <f>1/(1+'Вводные'!$B$12)^('СРОКИ'!D10/12)</f>
        <v/>
      </c>
      <c r="E42" s="45">
        <f>1/(1+'Вводные'!$B$12)^('СРОКИ'!E10/12)</f>
        <v/>
      </c>
      <c r="F42" s="45">
        <f>1/(1+'Вводные'!$B$12)^('СРОКИ'!F10/12)</f>
        <v/>
      </c>
      <c r="G42" s="45">
        <f>1/(1+'Вводные'!$B$12)^('СРОКИ'!G10/12)</f>
        <v/>
      </c>
      <c r="H42" s="45">
        <f>1/(1+'Вводные'!$B$12)^('СРОКИ'!H10/12)</f>
        <v/>
      </c>
      <c r="I42" s="45">
        <f>1/(1+'Вводные'!$B$12)^('СРОКИ'!I10/12)</f>
        <v/>
      </c>
      <c r="J42" s="45">
        <f>1/(1+'Вводные'!$B$12)^('СРОКИ'!J10/12)</f>
        <v/>
      </c>
      <c r="K42" s="45">
        <f>1/(1+'Вводные'!$B$12)^('СРОКИ'!K10/12)</f>
        <v/>
      </c>
      <c r="L42" s="45">
        <f>1/(1+'Вводные'!$B$12)^('СРОКИ'!L10/12)</f>
        <v/>
      </c>
      <c r="M42" s="45">
        <f>1/(1+'Вводные'!$B$12)^('СРОКИ'!M10/12)</f>
        <v/>
      </c>
      <c r="N42" s="45">
        <f>1/(1+'Вводные'!$B$12)^('СРОКИ'!N10/12)</f>
        <v/>
      </c>
      <c r="O42" s="45">
        <f>1/(1+'Вводные'!$B$12)^('СРОКИ'!O10/12)</f>
        <v/>
      </c>
      <c r="P42" s="45">
        <f>1/(1+'Вводные'!$B$12)^('СРОКИ'!P10/12)</f>
        <v/>
      </c>
      <c r="Q42" s="45">
        <f>1/(1+'Вводные'!$B$12)^('СРОКИ'!Q10/12)</f>
        <v/>
      </c>
      <c r="R42" s="45">
        <f>1/(1+'Вводные'!$B$12)^('СРОКИ'!R10/12)</f>
        <v/>
      </c>
      <c r="S42" s="45">
        <f>1/(1+'Вводные'!$B$12)^('СРОКИ'!S10/12)</f>
        <v/>
      </c>
      <c r="T42" s="45">
        <f>1/(1+'Вводные'!$B$12)^('СРОКИ'!T10/12)</f>
        <v/>
      </c>
      <c r="U42" s="45">
        <f>1/(1+'Вводные'!$B$12)^('СРОКИ'!U10/12)</f>
        <v/>
      </c>
      <c r="V42" s="45">
        <f>1/(1+'Вводные'!$B$12)^('СРОКИ'!V10/12)</f>
        <v/>
      </c>
      <c r="W42" s="45">
        <f>1/(1+'Вводные'!$B$12)^('СРОКИ'!W10/12)</f>
        <v/>
      </c>
      <c r="X42" s="45">
        <f>1/(1+'Вводные'!$B$12)^('СРОКИ'!X10/12)</f>
        <v/>
      </c>
      <c r="Y42" s="45">
        <f>1/(1+'Вводные'!$B$12)^('СРОКИ'!Y10/12)</f>
        <v/>
      </c>
      <c r="Z42" s="45">
        <f>1/(1+'Вводные'!$B$12)^('СРОКИ'!Z10/12)</f>
        <v/>
      </c>
      <c r="AA42" s="45">
        <f>1/(1+'Вводные'!$B$12)^('СРОКИ'!AA10/12)</f>
        <v/>
      </c>
      <c r="AB42" s="45">
        <f>1/(1+'Вводные'!$B$12)^('СРОКИ'!AB10/12)</f>
        <v/>
      </c>
      <c r="AC42" s="45">
        <f>1/(1+'Вводные'!$B$12)^('СРОКИ'!AC10/12)</f>
        <v/>
      </c>
      <c r="AD42" s="45">
        <f>1/(1+'Вводные'!$B$12)^('СРОКИ'!AD10/12)</f>
        <v/>
      </c>
      <c r="AE42" s="45">
        <f>1/(1+'Вводные'!$B$12)^('СРОКИ'!AE10/12)</f>
        <v/>
      </c>
      <c r="AF42" s="45">
        <f>1/(1+'Вводные'!$B$12)^('СРОКИ'!AF10/12)</f>
        <v/>
      </c>
      <c r="AG42" s="45">
        <f>1/(1+'Вводные'!$B$12)^('СРОКИ'!AG10/12)</f>
        <v/>
      </c>
      <c r="AH42" s="45">
        <f>1/(1+'Вводные'!$B$12)^('СРОКИ'!AH10/12)</f>
        <v/>
      </c>
      <c r="AI42" s="45">
        <f>1/(1+'Вводные'!$B$12)^('СРОКИ'!AI10/12)</f>
        <v/>
      </c>
      <c r="AJ42" s="45">
        <f>1/(1+'Вводные'!$B$12)^('СРОКИ'!AJ10/12)</f>
        <v/>
      </c>
      <c r="AK42" s="45">
        <f>1/(1+'Вводные'!$B$12)^('СРОКИ'!AK10/12)</f>
        <v/>
      </c>
      <c r="AL42" s="45">
        <f>1/(1+'Вводные'!$B$12)^('СРОКИ'!AL10/12)</f>
        <v/>
      </c>
      <c r="AM42" s="45">
        <f>1/(1+'Вводные'!$B$12)^('СРОКИ'!AM10/12)</f>
        <v/>
      </c>
      <c r="AN42" s="45">
        <f>1/(1+'Вводные'!$B$12)^('СРОКИ'!AN10/12)</f>
        <v/>
      </c>
      <c r="AO42" s="45">
        <f>1/(1+'Вводные'!$B$12)^('СРОКИ'!AO10/12)</f>
        <v/>
      </c>
      <c r="AP42" s="45">
        <f>1/(1+'Вводные'!$B$12)^('СРОКИ'!AP10/12)</f>
        <v/>
      </c>
      <c r="AQ42" s="45">
        <f>1/(1+'Вводные'!$B$12)^('СРОКИ'!AQ10/12)</f>
        <v/>
      </c>
      <c r="AR42" s="45">
        <f>1/(1+'Вводные'!$B$12)^('СРОКИ'!AR10/12)</f>
        <v/>
      </c>
      <c r="AS42" s="45">
        <f>1/(1+'Вводные'!$B$12)^('СРОКИ'!AS10/12)</f>
        <v/>
      </c>
      <c r="AT42" s="45">
        <f>1/(1+'Вводные'!$B$12)^('СРОКИ'!AT10/12)</f>
        <v/>
      </c>
      <c r="AU42" s="45">
        <f>1/(1+'Вводные'!$B$12)^('СРОКИ'!AU10/12)</f>
        <v/>
      </c>
      <c r="AV42" s="45">
        <f>1/(1+'Вводные'!$B$12)^('СРОКИ'!AV10/12)</f>
        <v/>
      </c>
      <c r="AW42" s="45">
        <f>1/(1+'Вводные'!$B$12)^('СРОКИ'!AW10/12)</f>
        <v/>
      </c>
      <c r="AX42" s="45">
        <f>1/(1+'Вводные'!$B$12)^('СРОКИ'!AX10/12)</f>
        <v/>
      </c>
      <c r="AY42" s="45">
        <f>1/(1+'Вводные'!$B$12)^('СРОКИ'!AY10/12)</f>
        <v/>
      </c>
      <c r="AZ42" s="45">
        <f>1/(1+'Вводные'!$B$12)^('СРОКИ'!AZ10/12)</f>
        <v/>
      </c>
      <c r="BA42" s="45">
        <f>1/(1+'Вводные'!$B$12)^('СРОКИ'!BA10/12)</f>
        <v/>
      </c>
      <c r="BB42" s="45">
        <f>1/(1+'Вводные'!$B$12)^('СРОКИ'!BB10/12)</f>
        <v/>
      </c>
      <c r="BC42" s="45">
        <f>1/(1+'Вводные'!$B$12)^('СРОКИ'!BC10/12)</f>
        <v/>
      </c>
      <c r="BD42" s="45">
        <f>1/(1+'Вводные'!$B$12)^('СРОКИ'!BD10/12)</f>
        <v/>
      </c>
      <c r="BE42" s="45">
        <f>1/(1+'Вводные'!$B$12)^('СРОКИ'!BE10/12)</f>
        <v/>
      </c>
      <c r="BF42" s="45">
        <f>1/(1+'Вводные'!$B$12)^('СРОКИ'!BF10/12)</f>
        <v/>
      </c>
      <c r="BG42" s="45">
        <f>1/(1+'Вводные'!$B$12)^('СРОКИ'!BG10/12)</f>
        <v/>
      </c>
      <c r="BH42" s="45">
        <f>1/(1+'Вводные'!$B$12)^('СРОКИ'!BH10/12)</f>
        <v/>
      </c>
      <c r="BI42" s="45">
        <f>1/(1+'Вводные'!$B$12)^('СРОКИ'!BI10/12)</f>
        <v/>
      </c>
      <c r="BJ42" s="45">
        <f>1/(1+'Вводные'!$B$12)^('СРОКИ'!BJ10/12)</f>
        <v/>
      </c>
      <c r="BK42" s="45">
        <f>1/(1+'Вводные'!$B$12)^('СРОКИ'!BK10/12)</f>
        <v/>
      </c>
      <c r="BL42" s="45">
        <f>1/(1+'Вводные'!$B$12)^('СРОКИ'!BL10/12)</f>
        <v/>
      </c>
      <c r="BM42" s="45">
        <f>1/(1+'Вводные'!$B$12)^('СРОКИ'!BM10/12)</f>
        <v/>
      </c>
      <c r="BN42" s="45">
        <f>1/(1+'Вводные'!$B$12)^('СРОКИ'!BN10/12)</f>
        <v/>
      </c>
      <c r="BO42" s="45">
        <f>1/(1+'Вводные'!$B$12)^('СРОКИ'!BO10/12)</f>
        <v/>
      </c>
      <c r="BP42" s="45">
        <f>1/(1+'Вводные'!$B$12)^('СРОКИ'!BP10/12)</f>
        <v/>
      </c>
      <c r="BQ42" s="45">
        <f>1/(1+'Вводные'!$B$12)^('СРОКИ'!BQ10/12)</f>
        <v/>
      </c>
      <c r="BR42" s="45">
        <f>1/(1+'Вводные'!$B$12)^('СРОКИ'!BR10/12)</f>
        <v/>
      </c>
      <c r="BS42" s="45">
        <f>1/(1+'Вводные'!$B$12)^('СРОКИ'!BS10/12)</f>
        <v/>
      </c>
      <c r="BT42" s="45">
        <f>1/(1+'Вводные'!$B$12)^('СРОКИ'!BT10/12)</f>
        <v/>
      </c>
      <c r="BU42" s="45">
        <f>1/(1+'Вводные'!$B$12)^('СРОКИ'!BU10/12)</f>
        <v/>
      </c>
      <c r="BV42" s="45">
        <f>1/(1+'Вводные'!$B$12)^('СРОКИ'!BV10/12)</f>
        <v/>
      </c>
      <c r="BW42" s="45">
        <f>1/(1+'Вводные'!$B$12)^('СРОКИ'!BW10/12)</f>
        <v/>
      </c>
      <c r="BX42" s="45">
        <f>1/(1+'Вводные'!$B$12)^('СРОКИ'!BX10/12)</f>
        <v/>
      </c>
      <c r="BY42" s="45">
        <f>1/(1+'Вводные'!$B$12)^('СРОКИ'!BY10/12)</f>
        <v/>
      </c>
      <c r="BZ42" s="45">
        <f>1/(1+'Вводные'!$B$12)^('СРОКИ'!BZ10/12)</f>
        <v/>
      </c>
      <c r="CA42" s="45">
        <f>1/(1+'Вводные'!$B$12)^('СРОКИ'!CA10/12)</f>
        <v/>
      </c>
      <c r="CB42" s="45">
        <f>1/(1+'Вводные'!$B$12)^('СРОКИ'!CB10/12)</f>
        <v/>
      </c>
      <c r="CC42" s="45">
        <f>1/(1+'Вводные'!$B$12)^('СРОКИ'!CC10/12)</f>
        <v/>
      </c>
      <c r="CD42" s="45">
        <f>1/(1+'Вводные'!$B$12)^('СРОКИ'!CD10/12)</f>
        <v/>
      </c>
      <c r="CE42" s="45">
        <f>1/(1+'Вводные'!$B$12)^('СРОКИ'!CE10/12)</f>
        <v/>
      </c>
      <c r="CF42" s="45">
        <f>1/(1+'Вводные'!$B$12)^('СРОКИ'!CF10/12)</f>
        <v/>
      </c>
      <c r="CG42" s="45">
        <f>1/(1+'Вводные'!$B$12)^('СРОКИ'!CG10/12)</f>
        <v/>
      </c>
      <c r="CH42" s="45">
        <f>1/(1+'Вводные'!$B$12)^('СРОКИ'!CH10/12)</f>
        <v/>
      </c>
      <c r="CI42" s="45">
        <f>1/(1+'Вводные'!$B$12)^('СРОКИ'!CI10/12)</f>
        <v/>
      </c>
      <c r="CJ42" s="45">
        <f>1/(1+'Вводные'!$B$12)^('СРОКИ'!CJ10/12)</f>
        <v/>
      </c>
      <c r="CK42" s="45">
        <f>1/(1+'Вводные'!$B$12)^('СРОКИ'!CK10/12)</f>
        <v/>
      </c>
      <c r="CL42" s="45">
        <f>1/(1+'Вводные'!$B$12)^('СРОКИ'!CL10/12)</f>
        <v/>
      </c>
      <c r="CM42" s="45">
        <f>1/(1+'Вводные'!$B$12)^('СРОКИ'!CM10/12)</f>
        <v/>
      </c>
      <c r="CN42" s="45">
        <f>1/(1+'Вводные'!$B$12)^('СРОКИ'!CN10/12)</f>
        <v/>
      </c>
      <c r="CO42" s="45">
        <f>1/(1+'Вводные'!$B$12)^('СРОКИ'!CO10/12)</f>
        <v/>
      </c>
      <c r="CP42" s="45">
        <f>1/(1+'Вводные'!$B$12)^('СРОКИ'!CP10/12)</f>
        <v/>
      </c>
      <c r="CQ42" s="45">
        <f>1/(1+'Вводные'!$B$12)^('СРОКИ'!CQ10/12)</f>
        <v/>
      </c>
      <c r="CR42" s="45">
        <f>1/(1+'Вводные'!$B$12)^('СРОКИ'!CR10/12)</f>
        <v/>
      </c>
      <c r="CS42" s="45">
        <f>1/(1+'Вводные'!$B$12)^('СРОКИ'!CS10/12)</f>
        <v/>
      </c>
      <c r="CT42" s="45">
        <f>1/(1+'Вводные'!$B$12)^('СРОКИ'!CT10/12)</f>
        <v/>
      </c>
      <c r="CU42" s="45">
        <f>1/(1+'Вводные'!$B$12)^('СРОКИ'!CU10/12)</f>
        <v/>
      </c>
      <c r="CV42" s="45">
        <f>1/(1+'Вводные'!$B$12)^('СРОКИ'!CV10/12)</f>
        <v/>
      </c>
      <c r="CW42" s="45">
        <f>1/(1+'Вводные'!$B$12)^('СРОКИ'!CW10/12)</f>
        <v/>
      </c>
      <c r="CX42" s="45">
        <f>1/(1+'Вводные'!$B$12)^('СРОКИ'!CX10/12)</f>
        <v/>
      </c>
      <c r="CY42" s="45">
        <f>1/(1+'Вводные'!$B$12)^('СРОКИ'!CY10/12)</f>
        <v/>
      </c>
      <c r="CZ42" s="45">
        <f>1/(1+'Вводные'!$B$12)^('СРОКИ'!CZ10/12)</f>
        <v/>
      </c>
      <c r="DA42" s="45">
        <f>1/(1+'Вводные'!$B$12)^('СРОКИ'!DA10/12)</f>
        <v/>
      </c>
      <c r="DB42" s="45">
        <f>1/(1+'Вводные'!$B$12)^('СРОКИ'!DB10/12)</f>
        <v/>
      </c>
      <c r="DC42" s="45">
        <f>1/(1+'Вводные'!$B$12)^('СРОКИ'!DC10/12)</f>
        <v/>
      </c>
      <c r="DD42" s="45">
        <f>1/(1+'Вводные'!$B$12)^('СРОКИ'!DD10/12)</f>
        <v/>
      </c>
      <c r="DE42" s="45">
        <f>1/(1+'Вводные'!$B$12)^('СРОКИ'!DE10/12)</f>
        <v/>
      </c>
      <c r="DF42" s="45">
        <f>1/(1+'Вводные'!$B$12)^('СРОКИ'!DF10/12)</f>
        <v/>
      </c>
      <c r="DG42" s="45">
        <f>1/(1+'Вводные'!$B$12)^('СРОКИ'!DG10/12)</f>
        <v/>
      </c>
      <c r="DH42" s="45">
        <f>1/(1+'Вводные'!$B$12)^('СРОКИ'!DH10/12)</f>
        <v/>
      </c>
      <c r="DI42" s="45">
        <f>1/(1+'Вводные'!$B$12)^('СРОКИ'!DI10/12)</f>
        <v/>
      </c>
      <c r="DJ42" s="45">
        <f>1/(1+'Вводные'!$B$12)^('СРОКИ'!DJ10/12)</f>
        <v/>
      </c>
      <c r="DK42" s="45">
        <f>1/(1+'Вводные'!$B$12)^('СРОКИ'!DK10/12)</f>
        <v/>
      </c>
      <c r="DL42" s="45">
        <f>1/(1+'Вводные'!$B$12)^('СРОКИ'!DL10/12)</f>
        <v/>
      </c>
      <c r="DM42" s="45">
        <f>1/(1+'Вводные'!$B$12)^('СРОКИ'!DM10/12)</f>
        <v/>
      </c>
    </row>
    <row r="43">
      <c r="A43" t="inlineStr">
        <is>
          <t>NPV проекта</t>
        </is>
      </c>
      <c r="B43" s="26">
        <f>SUMPRODUCT('CF_Аренда'!D41:DM41,'CF_Аренда'!D42:DM42)</f>
        <v/>
      </c>
      <c r="C43" s="3" t="inlineStr">
        <is>
          <t>млн ₽</t>
        </is>
      </c>
    </row>
    <row r="44">
      <c r="A44" t="inlineStr">
        <is>
          <t>IRR проекта</t>
        </is>
      </c>
      <c r="B44" s="28">
        <f>(1+IRR('CF_Аренда'!D41:DM41,-0.01))^12-1</f>
        <v/>
      </c>
      <c r="C44" s="3" t="inlineStr">
        <is>
          <t>в год</t>
        </is>
      </c>
    </row>
    <row r="45">
      <c r="A45" s="36" t="inlineStr">
        <is>
          <t>Множитель дисконтирования собственника (ставка / 12)</t>
        </is>
      </c>
      <c r="B45" s="10" t="n"/>
      <c r="C45" s="37" t="inlineStr">
        <is>
          <t>×</t>
        </is>
      </c>
      <c r="D45" s="45">
        <f>1/(1+'Вводные'!$B$12/12)^('СРОКИ'!D10)</f>
        <v/>
      </c>
      <c r="E45" s="45">
        <f>1/(1+'Вводные'!$B$12/12)^('СРОКИ'!E10)</f>
        <v/>
      </c>
      <c r="F45" s="45">
        <f>1/(1+'Вводные'!$B$12/12)^('СРОКИ'!F10)</f>
        <v/>
      </c>
      <c r="G45" s="45">
        <f>1/(1+'Вводные'!$B$12/12)^('СРОКИ'!G10)</f>
        <v/>
      </c>
      <c r="H45" s="45">
        <f>1/(1+'Вводные'!$B$12/12)^('СРОКИ'!H10)</f>
        <v/>
      </c>
      <c r="I45" s="45">
        <f>1/(1+'Вводные'!$B$12/12)^('СРОКИ'!I10)</f>
        <v/>
      </c>
      <c r="J45" s="45">
        <f>1/(1+'Вводные'!$B$12/12)^('СРОКИ'!J10)</f>
        <v/>
      </c>
      <c r="K45" s="45">
        <f>1/(1+'Вводные'!$B$12/12)^('СРОКИ'!K10)</f>
        <v/>
      </c>
      <c r="L45" s="45">
        <f>1/(1+'Вводные'!$B$12/12)^('СРОКИ'!L10)</f>
        <v/>
      </c>
      <c r="M45" s="45">
        <f>1/(1+'Вводные'!$B$12/12)^('СРОКИ'!M10)</f>
        <v/>
      </c>
      <c r="N45" s="45">
        <f>1/(1+'Вводные'!$B$12/12)^('СРОКИ'!N10)</f>
        <v/>
      </c>
      <c r="O45" s="45">
        <f>1/(1+'Вводные'!$B$12/12)^('СРОКИ'!O10)</f>
        <v/>
      </c>
      <c r="P45" s="45">
        <f>1/(1+'Вводные'!$B$12/12)^('СРОКИ'!P10)</f>
        <v/>
      </c>
      <c r="Q45" s="45">
        <f>1/(1+'Вводные'!$B$12/12)^('СРОКИ'!Q10)</f>
        <v/>
      </c>
      <c r="R45" s="45">
        <f>1/(1+'Вводные'!$B$12/12)^('СРОКИ'!R10)</f>
        <v/>
      </c>
      <c r="S45" s="45">
        <f>1/(1+'Вводные'!$B$12/12)^('СРОКИ'!S10)</f>
        <v/>
      </c>
      <c r="T45" s="45">
        <f>1/(1+'Вводные'!$B$12/12)^('СРОКИ'!T10)</f>
        <v/>
      </c>
      <c r="U45" s="45">
        <f>1/(1+'Вводные'!$B$12/12)^('СРОКИ'!U10)</f>
        <v/>
      </c>
      <c r="V45" s="45">
        <f>1/(1+'Вводные'!$B$12/12)^('СРОКИ'!V10)</f>
        <v/>
      </c>
      <c r="W45" s="45">
        <f>1/(1+'Вводные'!$B$12/12)^('СРОКИ'!W10)</f>
        <v/>
      </c>
      <c r="X45" s="45">
        <f>1/(1+'Вводные'!$B$12/12)^('СРОКИ'!X10)</f>
        <v/>
      </c>
      <c r="Y45" s="45">
        <f>1/(1+'Вводные'!$B$12/12)^('СРОКИ'!Y10)</f>
        <v/>
      </c>
      <c r="Z45" s="45">
        <f>1/(1+'Вводные'!$B$12/12)^('СРОКИ'!Z10)</f>
        <v/>
      </c>
      <c r="AA45" s="45">
        <f>1/(1+'Вводные'!$B$12/12)^('СРОКИ'!AA10)</f>
        <v/>
      </c>
      <c r="AB45" s="45">
        <f>1/(1+'Вводные'!$B$12/12)^('СРОКИ'!AB10)</f>
        <v/>
      </c>
      <c r="AC45" s="45">
        <f>1/(1+'Вводные'!$B$12/12)^('СРОКИ'!AC10)</f>
        <v/>
      </c>
      <c r="AD45" s="45">
        <f>1/(1+'Вводные'!$B$12/12)^('СРОКИ'!AD10)</f>
        <v/>
      </c>
      <c r="AE45" s="45">
        <f>1/(1+'Вводные'!$B$12/12)^('СРОКИ'!AE10)</f>
        <v/>
      </c>
      <c r="AF45" s="45">
        <f>1/(1+'Вводные'!$B$12/12)^('СРОКИ'!AF10)</f>
        <v/>
      </c>
      <c r="AG45" s="45">
        <f>1/(1+'Вводные'!$B$12/12)^('СРОКИ'!AG10)</f>
        <v/>
      </c>
      <c r="AH45" s="45">
        <f>1/(1+'Вводные'!$B$12/12)^('СРОКИ'!AH10)</f>
        <v/>
      </c>
      <c r="AI45" s="45">
        <f>1/(1+'Вводные'!$B$12/12)^('СРОКИ'!AI10)</f>
        <v/>
      </c>
      <c r="AJ45" s="45">
        <f>1/(1+'Вводные'!$B$12/12)^('СРОКИ'!AJ10)</f>
        <v/>
      </c>
      <c r="AK45" s="45">
        <f>1/(1+'Вводные'!$B$12/12)^('СРОКИ'!AK10)</f>
        <v/>
      </c>
      <c r="AL45" s="45">
        <f>1/(1+'Вводные'!$B$12/12)^('СРОКИ'!AL10)</f>
        <v/>
      </c>
      <c r="AM45" s="45">
        <f>1/(1+'Вводные'!$B$12/12)^('СРОКИ'!AM10)</f>
        <v/>
      </c>
      <c r="AN45" s="45">
        <f>1/(1+'Вводные'!$B$12/12)^('СРОКИ'!AN10)</f>
        <v/>
      </c>
      <c r="AO45" s="45">
        <f>1/(1+'Вводные'!$B$12/12)^('СРОКИ'!AO10)</f>
        <v/>
      </c>
      <c r="AP45" s="45">
        <f>1/(1+'Вводные'!$B$12/12)^('СРОКИ'!AP10)</f>
        <v/>
      </c>
      <c r="AQ45" s="45">
        <f>1/(1+'Вводные'!$B$12/12)^('СРОКИ'!AQ10)</f>
        <v/>
      </c>
      <c r="AR45" s="45">
        <f>1/(1+'Вводные'!$B$12/12)^('СРОКИ'!AR10)</f>
        <v/>
      </c>
      <c r="AS45" s="45">
        <f>1/(1+'Вводные'!$B$12/12)^('СРОКИ'!AS10)</f>
        <v/>
      </c>
      <c r="AT45" s="45">
        <f>1/(1+'Вводные'!$B$12/12)^('СРОКИ'!AT10)</f>
        <v/>
      </c>
      <c r="AU45" s="45">
        <f>1/(1+'Вводные'!$B$12/12)^('СРОКИ'!AU10)</f>
        <v/>
      </c>
      <c r="AV45" s="45">
        <f>1/(1+'Вводные'!$B$12/12)^('СРОКИ'!AV10)</f>
        <v/>
      </c>
      <c r="AW45" s="45">
        <f>1/(1+'Вводные'!$B$12/12)^('СРОКИ'!AW10)</f>
        <v/>
      </c>
      <c r="AX45" s="45">
        <f>1/(1+'Вводные'!$B$12/12)^('СРОКИ'!AX10)</f>
        <v/>
      </c>
      <c r="AY45" s="45">
        <f>1/(1+'Вводные'!$B$12/12)^('СРОКИ'!AY10)</f>
        <v/>
      </c>
      <c r="AZ45" s="45">
        <f>1/(1+'Вводные'!$B$12/12)^('СРОКИ'!AZ10)</f>
        <v/>
      </c>
      <c r="BA45" s="45">
        <f>1/(1+'Вводные'!$B$12/12)^('СРОКИ'!BA10)</f>
        <v/>
      </c>
      <c r="BB45" s="45">
        <f>1/(1+'Вводные'!$B$12/12)^('СРОКИ'!BB10)</f>
        <v/>
      </c>
      <c r="BC45" s="45">
        <f>1/(1+'Вводные'!$B$12/12)^('СРОКИ'!BC10)</f>
        <v/>
      </c>
      <c r="BD45" s="45">
        <f>1/(1+'Вводные'!$B$12/12)^('СРОКИ'!BD10)</f>
        <v/>
      </c>
      <c r="BE45" s="45">
        <f>1/(1+'Вводные'!$B$12/12)^('СРОКИ'!BE10)</f>
        <v/>
      </c>
      <c r="BF45" s="45">
        <f>1/(1+'Вводные'!$B$12/12)^('СРОКИ'!BF10)</f>
        <v/>
      </c>
      <c r="BG45" s="45">
        <f>1/(1+'Вводные'!$B$12/12)^('СРОКИ'!BG10)</f>
        <v/>
      </c>
      <c r="BH45" s="45">
        <f>1/(1+'Вводные'!$B$12/12)^('СРОКИ'!BH10)</f>
        <v/>
      </c>
      <c r="BI45" s="45">
        <f>1/(1+'Вводные'!$B$12/12)^('СРОКИ'!BI10)</f>
        <v/>
      </c>
      <c r="BJ45" s="45">
        <f>1/(1+'Вводные'!$B$12/12)^('СРОКИ'!BJ10)</f>
        <v/>
      </c>
      <c r="BK45" s="45">
        <f>1/(1+'Вводные'!$B$12/12)^('СРОКИ'!BK10)</f>
        <v/>
      </c>
      <c r="BL45" s="45">
        <f>1/(1+'Вводные'!$B$12/12)^('СРОКИ'!BL10)</f>
        <v/>
      </c>
      <c r="BM45" s="45">
        <f>1/(1+'Вводные'!$B$12/12)^('СРОКИ'!BM10)</f>
        <v/>
      </c>
      <c r="BN45" s="45">
        <f>1/(1+'Вводные'!$B$12/12)^('СРОКИ'!BN10)</f>
        <v/>
      </c>
      <c r="BO45" s="45">
        <f>1/(1+'Вводные'!$B$12/12)^('СРОКИ'!BO10)</f>
        <v/>
      </c>
      <c r="BP45" s="45">
        <f>1/(1+'Вводные'!$B$12/12)^('СРОКИ'!BP10)</f>
        <v/>
      </c>
      <c r="BQ45" s="45">
        <f>1/(1+'Вводные'!$B$12/12)^('СРОКИ'!BQ10)</f>
        <v/>
      </c>
      <c r="BR45" s="45">
        <f>1/(1+'Вводные'!$B$12/12)^('СРОКИ'!BR10)</f>
        <v/>
      </c>
      <c r="BS45" s="45">
        <f>1/(1+'Вводные'!$B$12/12)^('СРОКИ'!BS10)</f>
        <v/>
      </c>
      <c r="BT45" s="45">
        <f>1/(1+'Вводные'!$B$12/12)^('СРОКИ'!BT10)</f>
        <v/>
      </c>
      <c r="BU45" s="45">
        <f>1/(1+'Вводные'!$B$12/12)^('СРОКИ'!BU10)</f>
        <v/>
      </c>
      <c r="BV45" s="45">
        <f>1/(1+'Вводные'!$B$12/12)^('СРОКИ'!BV10)</f>
        <v/>
      </c>
      <c r="BW45" s="45">
        <f>1/(1+'Вводные'!$B$12/12)^('СРОКИ'!BW10)</f>
        <v/>
      </c>
      <c r="BX45" s="45">
        <f>1/(1+'Вводные'!$B$12/12)^('СРОКИ'!BX10)</f>
        <v/>
      </c>
      <c r="BY45" s="45">
        <f>1/(1+'Вводные'!$B$12/12)^('СРОКИ'!BY10)</f>
        <v/>
      </c>
      <c r="BZ45" s="45">
        <f>1/(1+'Вводные'!$B$12/12)^('СРОКИ'!BZ10)</f>
        <v/>
      </c>
      <c r="CA45" s="45">
        <f>1/(1+'Вводные'!$B$12/12)^('СРОКИ'!CA10)</f>
        <v/>
      </c>
      <c r="CB45" s="45">
        <f>1/(1+'Вводные'!$B$12/12)^('СРОКИ'!CB10)</f>
        <v/>
      </c>
      <c r="CC45" s="45">
        <f>1/(1+'Вводные'!$B$12/12)^('СРОКИ'!CC10)</f>
        <v/>
      </c>
      <c r="CD45" s="45">
        <f>1/(1+'Вводные'!$B$12/12)^('СРОКИ'!CD10)</f>
        <v/>
      </c>
      <c r="CE45" s="45">
        <f>1/(1+'Вводные'!$B$12/12)^('СРОКИ'!CE10)</f>
        <v/>
      </c>
      <c r="CF45" s="45">
        <f>1/(1+'Вводные'!$B$12/12)^('СРОКИ'!CF10)</f>
        <v/>
      </c>
      <c r="CG45" s="45">
        <f>1/(1+'Вводные'!$B$12/12)^('СРОКИ'!CG10)</f>
        <v/>
      </c>
      <c r="CH45" s="45">
        <f>1/(1+'Вводные'!$B$12/12)^('СРОКИ'!CH10)</f>
        <v/>
      </c>
      <c r="CI45" s="45">
        <f>1/(1+'Вводные'!$B$12/12)^('СРОКИ'!CI10)</f>
        <v/>
      </c>
      <c r="CJ45" s="45">
        <f>1/(1+'Вводные'!$B$12/12)^('СРОКИ'!CJ10)</f>
        <v/>
      </c>
      <c r="CK45" s="45">
        <f>1/(1+'Вводные'!$B$12/12)^('СРОКИ'!CK10)</f>
        <v/>
      </c>
      <c r="CL45" s="45">
        <f>1/(1+'Вводные'!$B$12/12)^('СРОКИ'!CL10)</f>
        <v/>
      </c>
      <c r="CM45" s="45">
        <f>1/(1+'Вводные'!$B$12/12)^('СРОКИ'!CM10)</f>
        <v/>
      </c>
      <c r="CN45" s="45">
        <f>1/(1+'Вводные'!$B$12/12)^('СРОКИ'!CN10)</f>
        <v/>
      </c>
      <c r="CO45" s="45">
        <f>1/(1+'Вводные'!$B$12/12)^('СРОКИ'!CO10)</f>
        <v/>
      </c>
      <c r="CP45" s="45">
        <f>1/(1+'Вводные'!$B$12/12)^('СРОКИ'!CP10)</f>
        <v/>
      </c>
      <c r="CQ45" s="45">
        <f>1/(1+'Вводные'!$B$12/12)^('СРОКИ'!CQ10)</f>
        <v/>
      </c>
      <c r="CR45" s="45">
        <f>1/(1+'Вводные'!$B$12/12)^('СРОКИ'!CR10)</f>
        <v/>
      </c>
      <c r="CS45" s="45">
        <f>1/(1+'Вводные'!$B$12/12)^('СРОКИ'!CS10)</f>
        <v/>
      </c>
      <c r="CT45" s="45">
        <f>1/(1+'Вводные'!$B$12/12)^('СРОКИ'!CT10)</f>
        <v/>
      </c>
      <c r="CU45" s="45">
        <f>1/(1+'Вводные'!$B$12/12)^('СРОКИ'!CU10)</f>
        <v/>
      </c>
      <c r="CV45" s="45">
        <f>1/(1+'Вводные'!$B$12/12)^('СРОКИ'!CV10)</f>
        <v/>
      </c>
      <c r="CW45" s="45">
        <f>1/(1+'Вводные'!$B$12/12)^('СРОКИ'!CW10)</f>
        <v/>
      </c>
      <c r="CX45" s="45">
        <f>1/(1+'Вводные'!$B$12/12)^('СРОКИ'!CX10)</f>
        <v/>
      </c>
      <c r="CY45" s="45">
        <f>1/(1+'Вводные'!$B$12/12)^('СРОКИ'!CY10)</f>
        <v/>
      </c>
      <c r="CZ45" s="45">
        <f>1/(1+'Вводные'!$B$12/12)^('СРОКИ'!CZ10)</f>
        <v/>
      </c>
      <c r="DA45" s="45">
        <f>1/(1+'Вводные'!$B$12/12)^('СРОКИ'!DA10)</f>
        <v/>
      </c>
      <c r="DB45" s="45">
        <f>1/(1+'Вводные'!$B$12/12)^('СРОКИ'!DB10)</f>
        <v/>
      </c>
      <c r="DC45" s="45">
        <f>1/(1+'Вводные'!$B$12/12)^('СРОКИ'!DC10)</f>
        <v/>
      </c>
      <c r="DD45" s="45">
        <f>1/(1+'Вводные'!$B$12/12)^('СРОКИ'!DD10)</f>
        <v/>
      </c>
      <c r="DE45" s="45">
        <f>1/(1+'Вводные'!$B$12/12)^('СРОКИ'!DE10)</f>
        <v/>
      </c>
      <c r="DF45" s="45">
        <f>1/(1+'Вводные'!$B$12/12)^('СРОКИ'!DF10)</f>
        <v/>
      </c>
      <c r="DG45" s="45">
        <f>1/(1+'Вводные'!$B$12/12)^('СРОКИ'!DG10)</f>
        <v/>
      </c>
      <c r="DH45" s="45">
        <f>1/(1+'Вводные'!$B$12/12)^('СРОКИ'!DH10)</f>
        <v/>
      </c>
      <c r="DI45" s="45">
        <f>1/(1+'Вводные'!$B$12/12)^('СРОКИ'!DI10)</f>
        <v/>
      </c>
      <c r="DJ45" s="45">
        <f>1/(1+'Вводные'!$B$12/12)^('СРОКИ'!DJ10)</f>
        <v/>
      </c>
      <c r="DK45" s="45">
        <f>1/(1+'Вводные'!$B$12/12)^('СРОКИ'!DK10)</f>
        <v/>
      </c>
      <c r="DL45" s="45">
        <f>1/(1+'Вводные'!$B$12/12)^('СРОКИ'!DL10)</f>
        <v/>
      </c>
      <c r="DM45" s="45">
        <f>1/(1+'Вводные'!$B$12/12)^('СРОКИ'!DM10)</f>
        <v/>
      </c>
    </row>
    <row r="46">
      <c r="A46" t="inlineStr">
        <is>
          <t>NPV собственника</t>
        </is>
      </c>
      <c r="B46" s="26">
        <f>SUMPRODUCT('CF_Аренда'!D39:DM39,'CF_Аренда'!D45:DM45)</f>
        <v/>
      </c>
      <c r="C46" s="3" t="inlineStr">
        <is>
          <t>млн ₽</t>
        </is>
      </c>
    </row>
    <row r="47">
      <c r="A47" t="inlineStr">
        <is>
          <t>Пик собственных денег</t>
        </is>
      </c>
      <c r="B47" s="26">
        <f>-MIN('CF_Аренда'!D40:DM40)</f>
        <v/>
      </c>
      <c r="C47" s="3" t="inlineStr">
        <is>
          <t>млн ₽</t>
        </is>
      </c>
    </row>
    <row r="48">
      <c r="A48" t="inlineStr">
        <is>
          <t>Чистая прибыль (сумма потока собственника)</t>
        </is>
      </c>
      <c r="B48" s="26">
        <f>'CF_Аренда'!B39</f>
        <v/>
      </c>
      <c r="C48" s="3" t="inlineStr">
        <is>
          <t>млн ₽</t>
        </is>
      </c>
    </row>
  </sheetData>
  <pageMargins left="0.75" right="0.75" top="1" bottom="1" header="0.5" footer="0.5"/>
  <pageSetup orientation="landscape" scale="52" fitToHeight="0" fitToWidth="1"/>
  <colBreaks count="9" manualBreakCount="9">
    <brk id="15" min="0" max="16383" man="1"/>
    <brk id="27" min="0" max="16383" man="1"/>
    <brk id="39" min="0" max="16383" man="1"/>
    <brk id="51" min="0" max="16383" man="1"/>
    <brk id="63" min="0" max="16383" man="1"/>
    <brk id="75" min="0" max="16383" man="1"/>
    <brk id="87" min="0" max="16383" man="1"/>
    <brk id="99" min="0" max="16383" man="1"/>
    <brk id="111" min="0" max="16383" man="1"/>
  </colBreaks>
</worksheet>
</file>

<file path=xl/worksheets/sheet13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4" customWidth="1" min="4" max="4"/>
    <col width="12" customWidth="1" min="5" max="5"/>
  </cols>
  <sheetData>
    <row r="1">
      <c r="A1" s="1" t="inlineStr">
        <is>
          <t>ПРОВЕРКИ · КНИГА ПРОТИВ ДВИЖКА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Расхождение больше 0,5 млн ₽ (у IRR — 0,5 п.п.) — красное.</t>
        </is>
      </c>
    </row>
    <row r="4">
      <c r="A4" s="9" t="inlineStr">
        <is>
          <t>Итог</t>
        </is>
      </c>
      <c r="B4" s="9" t="inlineStr">
        <is>
          <t>Книга</t>
        </is>
      </c>
      <c r="C4" s="9" t="inlineStr">
        <is>
          <t>Движок</t>
        </is>
      </c>
      <c r="D4" s="9" t="inlineStr">
        <is>
          <t>Разница</t>
        </is>
      </c>
      <c r="E4" s="9" t="inlineStr">
        <is>
          <t>Статус</t>
        </is>
      </c>
    </row>
    <row r="5">
      <c r="A5" t="inlineStr">
        <is>
          <t>Продажа: выручка</t>
        </is>
      </c>
      <c r="B5" s="26">
        <f>'CF_Продажа'!$B$7</f>
        <v/>
      </c>
      <c r="C5" s="26" t="n">
        <v>6079.461524771334</v>
      </c>
      <c r="D5" s="26">
        <f>B5-C5</f>
        <v/>
      </c>
      <c r="E5">
        <f>IF(ABS(D5)&lt;=0.5,"ПРОЙДЕНО","РАСХОЖДЕНИЕ")</f>
        <v/>
      </c>
    </row>
    <row r="6">
      <c r="A6" t="inlineStr">
        <is>
          <t>Продажа: маркетинг и брокеры</t>
        </is>
      </c>
      <c r="B6" s="26">
        <f>'Продажа'!B9</f>
        <v/>
      </c>
      <c r="C6" s="26" t="n">
        <v>425.5623067339934</v>
      </c>
      <c r="D6" s="26">
        <f>B6-C6</f>
        <v/>
      </c>
      <c r="E6">
        <f>IF(ABS(D6)&lt;=0.5,"ПРОЙДЕНО","РАСХОЖДЕНИЕ")</f>
        <v/>
      </c>
    </row>
    <row r="7">
      <c r="A7" t="inlineStr">
        <is>
          <t>Продажа: налог на имущество</t>
        </is>
      </c>
      <c r="B7" s="26">
        <f>'Продажа'!B11</f>
        <v/>
      </c>
      <c r="C7" s="26" t="n">
        <v>26.58842759562841</v>
      </c>
      <c r="D7" s="26">
        <f>B7-C7</f>
        <v/>
      </c>
      <c r="E7">
        <f>IF(ABS(D7)&lt;=0.5,"ПРОЙДЕНО","РАСХОЖДЕНИЕ")</f>
        <v/>
      </c>
    </row>
    <row r="8">
      <c r="A8" t="inlineStr">
        <is>
          <t>Продажа: проценты</t>
        </is>
      </c>
      <c r="B8" s="26">
        <f>'CF_Продажа'!B18</f>
        <v/>
      </c>
      <c r="C8" s="26" t="n">
        <v>821.507703351496</v>
      </c>
      <c r="D8" s="26">
        <f>B8-C8</f>
        <v/>
      </c>
      <c r="E8">
        <f>IF(ABS(D8)&lt;=0.5,"ПРОЙДЕНО","РАСХОЖДЕНИЕ")</f>
        <v/>
      </c>
    </row>
    <row r="9">
      <c r="A9" t="inlineStr">
        <is>
          <t>Продажа: комиссии</t>
        </is>
      </c>
      <c r="B9" s="26">
        <f>'CF_Продажа'!B29</f>
        <v/>
      </c>
      <c r="C9" s="26" t="n">
        <v>51.11810451844056</v>
      </c>
      <c r="D9" s="26">
        <f>B9-C9</f>
        <v/>
      </c>
      <c r="E9">
        <f>IF(ABS(D9)&lt;=0.5,"ПРОЙДЕНО","РАСХОЖДЕНИЕ")</f>
        <v/>
      </c>
    </row>
    <row r="10">
      <c r="A10" t="inlineStr">
        <is>
          <t>Продажа: чистая прибыль</t>
        </is>
      </c>
      <c r="B10" s="26">
        <f>'CF_Продажа'!B33</f>
        <v/>
      </c>
      <c r="C10" s="26" t="n">
        <v>-980.4193613268961</v>
      </c>
      <c r="D10" s="26">
        <f>B10-C10</f>
        <v/>
      </c>
      <c r="E10">
        <f>IF(ABS(D10)&lt;=0.5,"ПРОЙДЕНО","РАСХОЖДЕНИЕ")</f>
        <v/>
      </c>
    </row>
    <row r="11">
      <c r="A11" t="inlineStr">
        <is>
          <t>Продажа: NPV проекта</t>
        </is>
      </c>
      <c r="B11" s="26">
        <f>'CF_Продажа'!$B$37</f>
        <v/>
      </c>
      <c r="C11" s="26" t="n">
        <v>-1127.037776231875</v>
      </c>
      <c r="D11" s="26">
        <f>B11-C11</f>
        <v/>
      </c>
      <c r="E11">
        <f>IF(ABS(D11)&lt;=0.5,"ПРОЙДЕНО","РАСХОЖДЕНИЕ")</f>
        <v/>
      </c>
    </row>
    <row r="12">
      <c r="A12" t="inlineStr">
        <is>
          <t>Продажа: NPV собственника</t>
        </is>
      </c>
      <c r="B12" s="26">
        <f>'CF_Продажа'!$B$40</f>
        <v/>
      </c>
      <c r="C12" s="26" t="n">
        <v>-953.4697815350181</v>
      </c>
      <c r="D12" s="26">
        <f>B12-C12</f>
        <v/>
      </c>
      <c r="E12">
        <f>IF(ABS(D12)&lt;=0.5,"ПРОЙДЕНО","РАСХОЖДЕНИЕ")</f>
        <v/>
      </c>
    </row>
    <row r="13">
      <c r="A13" t="inlineStr">
        <is>
          <t>Продажа: IRR проекта, %</t>
        </is>
      </c>
      <c r="B13" s="26">
        <f>'CF_Продажа'!$B$38*100</f>
        <v/>
      </c>
      <c r="C13" s="26" t="n">
        <v>-1.143642227955577</v>
      </c>
      <c r="D13" s="26">
        <f>B13-C13</f>
        <v/>
      </c>
      <c r="E13">
        <f>IF(ABS(D13)&lt;=0.5,"ПРОЙДЕНО","РАСХОЖДЕНИЕ")</f>
        <v/>
      </c>
    </row>
    <row r="14">
      <c r="A14" t="inlineStr">
        <is>
          <t>Аренда: доход</t>
        </is>
      </c>
      <c r="B14" s="26">
        <f>'Аренда'!B8</f>
        <v/>
      </c>
      <c r="C14" s="26" t="n">
        <v>2245.152307311981</v>
      </c>
      <c r="D14" s="26">
        <f>B14-C14</f>
        <v/>
      </c>
      <c r="E14">
        <f>IF(ABS(D14)&lt;=0.5,"ПРОЙДЕНО","РАСХОЖДЕНИЕ")</f>
        <v/>
      </c>
    </row>
    <row r="15">
      <c r="A15" t="inlineStr">
        <is>
          <t>Аренда: эксплуатация</t>
        </is>
      </c>
      <c r="B15" s="26">
        <f>'Аренда'!B9</f>
        <v/>
      </c>
      <c r="C15" s="26" t="n">
        <v>404.1274153161565</v>
      </c>
      <c r="D15" s="26">
        <f>B15-C15</f>
        <v/>
      </c>
      <c r="E15">
        <f>IF(ABS(D15)&lt;=0.5,"ПРОЙДЕНО","РАСХОЖДЕНИЕ")</f>
        <v/>
      </c>
    </row>
    <row r="16">
      <c r="A16" t="inlineStr">
        <is>
          <t>Аренда: налог на имущество</t>
        </is>
      </c>
      <c r="B16" s="26">
        <f>'Аренда'!B10</f>
        <v/>
      </c>
      <c r="C16" s="26" t="n">
        <v>245.4316393442623</v>
      </c>
      <c r="D16" s="26">
        <f>B16-C16</f>
        <v/>
      </c>
      <c r="E16">
        <f>IF(ABS(D16)&lt;=0.5,"ПРОЙДЕНО","РАСХОЖДЕНИЕ")</f>
        <v/>
      </c>
    </row>
    <row r="17">
      <c r="A17" t="inlineStr">
        <is>
          <t>Аренда: стоимость здания</t>
        </is>
      </c>
      <c r="B17" s="26">
        <f>'Выход'!$B$6</f>
        <v/>
      </c>
      <c r="C17" s="26" t="n">
        <v>3816.000353974357</v>
      </c>
      <c r="D17" s="26">
        <f>B17-C17</f>
        <v/>
      </c>
      <c r="E17">
        <f>IF(ABS(D17)&lt;=0.5,"ПРОЙДЕНО","РАСХОЖДЕНИЕ")</f>
        <v/>
      </c>
    </row>
    <row r="18">
      <c r="A18" t="inlineStr">
        <is>
          <t>Аренда: NOI года после заполнения</t>
        </is>
      </c>
      <c r="B18" s="26">
        <f>'Выход'!$B$9</f>
        <v/>
      </c>
      <c r="C18" s="26" t="n">
        <v>328.5368587110279</v>
      </c>
      <c r="D18" s="26">
        <f>B18-C18</f>
        <v/>
      </c>
      <c r="E18">
        <f>IF(ABS(D18)&lt;=0.5,"ПРОЙДЕНО","РАСХОЖДЕНИЕ")</f>
        <v/>
      </c>
    </row>
    <row r="19">
      <c r="A19" t="inlineStr">
        <is>
          <t>Аренда: проценты</t>
        </is>
      </c>
      <c r="B19" s="26">
        <f>'CF_Аренда'!B18</f>
        <v/>
      </c>
      <c r="C19" s="26" t="n">
        <v>2447.481507033629</v>
      </c>
      <c r="D19" s="26">
        <f>B19-C19</f>
        <v/>
      </c>
      <c r="E19">
        <f>IF(ABS(D19)&lt;=0.5,"ПРОЙДЕНО","РАСХОЖДЕНИЕ")</f>
        <v/>
      </c>
    </row>
    <row r="20">
      <c r="A20" t="inlineStr">
        <is>
          <t>Аренда: комиссии</t>
        </is>
      </c>
      <c r="B20" s="26">
        <f>'CF_Аренда'!B35</f>
        <v/>
      </c>
      <c r="C20" s="26" t="n">
        <v>51.11810451844056</v>
      </c>
      <c r="D20" s="26">
        <f>B20-C20</f>
        <v/>
      </c>
      <c r="E20">
        <f>IF(ABS(D20)&lt;=0.5,"ПРОЙДЕНО","РАСХОЖДЕНИЕ")</f>
        <v/>
      </c>
    </row>
    <row r="21">
      <c r="A21" t="inlineStr">
        <is>
          <t>Аренда: чистая прибыль</t>
        </is>
      </c>
      <c r="B21" s="26">
        <f>'CF_Аренда'!B39</f>
        <v/>
      </c>
      <c r="C21" s="26" t="n">
        <v>-2865.776253985094</v>
      </c>
      <c r="D21" s="26">
        <f>B21-C21</f>
        <v/>
      </c>
      <c r="E21">
        <f>IF(ABS(D21)&lt;=0.5,"ПРОЙДЕНО","РАСХОЖДЕНИЕ")</f>
        <v/>
      </c>
    </row>
    <row r="22">
      <c r="A22" t="inlineStr">
        <is>
          <t>Аренда: NPV проекта</t>
        </is>
      </c>
      <c r="B22" s="26">
        <f>'CF_Аренда'!$B$43</f>
        <v/>
      </c>
      <c r="C22" s="26" t="n">
        <v>-2237.359623039137</v>
      </c>
      <c r="D22" s="26">
        <f>B22-C22</f>
        <v/>
      </c>
      <c r="E22">
        <f>IF(ABS(D22)&lt;=0.5,"ПРОЙДЕНО","РАСХОЖДЕНИЕ")</f>
        <v/>
      </c>
    </row>
    <row r="23">
      <c r="A23" t="inlineStr">
        <is>
          <t>Аренда: NPV собственника</t>
        </is>
      </c>
      <c r="B23" s="26">
        <f>'CF_Аренда'!$B$46</f>
        <v/>
      </c>
      <c r="C23" s="26" t="n">
        <v>-1766.04178496923</v>
      </c>
      <c r="D23" s="26">
        <f>B23-C23</f>
        <v/>
      </c>
      <c r="E23">
        <f>IF(ABS(D23)&lt;=0.5,"ПРОЙДЕНО","РАСХОЖДЕНИЕ")</f>
        <v/>
      </c>
    </row>
    <row r="24">
      <c r="A24" t="inlineStr">
        <is>
          <t>Аренда: IRR проекта, %</t>
        </is>
      </c>
      <c r="B24" s="26">
        <f>'CF_Аренда'!$B$44*100</f>
        <v/>
      </c>
      <c r="C24" s="26" t="n">
        <v>-1.421173460408942</v>
      </c>
      <c r="D24" s="26">
        <f>B24-C24</f>
        <v/>
      </c>
      <c r="E24">
        <f>IF(ABS(D24)&lt;=0.5,"ПРОЙДЕНО","РАСХОЖДЕНИЕ")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2026-10-22T14:55:08Z</dcterms:created>
  <dcterms:modified xmlns:dcterms="http://purl.org/dc/terms/" xmlns:xsi="http://www.w3.org/2001/XMLSchema-instance" xsi:type="dcterms:W3CDTF">2026-10-22T14:55:09Z</dcterms:modified>
</cp:coreProperties>
</file>