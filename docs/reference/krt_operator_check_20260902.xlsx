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d9d58daeb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верка КРТ" sheetId="1" r:id="R58ce68ab607c4496"/>
    <x:sheet xmlns:r="http://schemas.openxmlformats.org/officeDocument/2006/relationships" name="Методика" sheetId="2" r:id="Rd0fd418138b4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#,##0"/>
  </x:numFmts>
  <x:fonts count="14">
    <x:font>
      <x:sz val="11"/>
      <x:name val="Carlito"/>
    </x:font>
    <x:font>
      <x:b/>
      <x:sz val="20"/>
      <x:color rgb="FFFFFFFF"/>
      <x:name val="Aptos Display"/>
    </x:font>
    <x:font>
      <x:sz val="11"/>
      <x:color rgb="FF334155"/>
      <x:name val="Aptos"/>
    </x:font>
    <x:font>
      <x:b/>
      <x:sz val="9"/>
      <x:color rgb="FF64748B"/>
      <x:name val="Aptos"/>
    </x:font>
    <x:font>
      <x:b/>
      <x:sz val="18"/>
      <x:color rgb="FF17202A"/>
      <x:name val="Aptos Display"/>
    </x:font>
    <x:font>
      <x:sz val="10"/>
      <x:color rgb="FF7C4A03"/>
      <x:name val="Aptos"/>
    </x:font>
    <x:font>
      <x:i/>
      <x:sz val="10"/>
      <x:color rgb="FF64748B"/>
      <x:name val="Aptos"/>
    </x:font>
    <x:font>
      <x:sz val="10"/>
      <x:color rgb="FF17202A"/>
      <x:name val="Aptos"/>
    </x:font>
    <x:font>
      <x:b/>
      <x:sz val="10"/>
      <x:color rgb="FFFFFFFF"/>
      <x:name val="Aptos"/>
    </x:font>
    <x:font>
      <x:b/>
      <x:sz val="10"/>
      <x:color rgb="FF17202A"/>
      <x:name val="Aptos"/>
    </x:font>
    <x:font>
      <x:sz val="10"/>
      <x:color rgb="FF1D4ED8"/>
      <x:name val="Aptos"/>
    </x:font>
    <x:font>
      <x:sz val="11"/>
      <x:color rgb="FF17202A"/>
      <x:name val="Aptos"/>
    </x:font>
    <x:font>
      <x:b/>
      <x:sz val="11"/>
      <x:color rgb="FFFFFFFF"/>
      <x:name val="Aptos"/>
    </x:font>
    <x:font>
      <x:b/>
      <x:sz val="11"/>
      <x:color rgb="FF1E3A8A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E8EEF7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FFF7E6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</x:fills>
  <x:borders count="11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4C46A"/>
      </x:left>
      <x:top style="thin">
        <x:color rgb="FFF4C46A"/>
      </x:top>
    </x:border>
    <x:border>
      <x:top style="thin">
        <x:color rgb="FFF4C46A"/>
      </x:top>
    </x:border>
    <x:border>
      <x:right style="thin">
        <x:color rgb="FFF4C46A"/>
      </x:right>
      <x:top style="thin">
        <x:color rgb="FFF4C46A"/>
      </x:top>
    </x:border>
    <x:border>
      <x:left style="thin">
        <x:color rgb="FFF4C46A"/>
      </x:left>
      <x:bottom style="thin">
        <x:color rgb="FFF4C46A"/>
      </x:bottom>
    </x:border>
    <x:border>
      <x:bottom style="thin">
        <x:color rgb="FFF4C46A"/>
      </x:bottom>
    </x:border>
    <x:border>
      <x:right style="thin">
        <x:color rgb="FFF4C46A"/>
      </x:right>
      <x:bottom style="thin">
        <x:color rgb="FFF4C46A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9" xfId="0" applyNumberFormat="1" applyFont="1" applyFill="1" applyBorder="1"/>
    <x:xf numFmtId="0" fontId="7" fillId="0" borderId="9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7" borderId="9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vertical="top" wrapText="1"/>
    </x:xf>
    <x:xf numFmtId="0" fontId="8" fillId="7" borderId="10" xfId="0" applyNumberFormat="1" applyFont="1" applyFill="1" applyBorder="1" applyAlignment="1">
      <x:alignment horizontal="center" vertical="top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9" fillId="0" borderId="9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horizontal="center" vertical="top" wrapText="1"/>
    </x:xf>
    <x:xf numFmtId="200" fontId="7" fillId="0" borderId="9" xfId="0" applyNumberFormat="1" applyFont="1" applyFill="1" applyBorder="1" applyAlignment="1">
      <x:alignment horizontal="center" vertical="top" wrapText="1"/>
    </x:xf>
    <x:xf numFmtId="201" fontId="7" fillId="0" borderId="9" xfId="0" applyNumberFormat="1" applyFont="1" applyFill="1" applyBorder="1" applyAlignment="1">
      <x:alignment horizontal="center" vertical="top" wrapText="1"/>
    </x:xf>
    <x:xf numFmtId="0" fontId="10" fillId="0" borderId="9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/>
    <x:xf numFmtId="0" fontId="11" fillId="0" borderId="9" xfId="0" applyNumberFormat="1" applyFont="1" applyFill="1" applyBorder="1"/>
    <x:xf numFmtId="0" fontId="11" fillId="0" borderId="9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7" borderId="9" xfId="0" applyNumberFormat="1" applyFont="1" applyFill="1" applyBorder="1" applyAlignment="1">
      <x:alignment vertical="top" wrapText="1"/>
    </x:xf>
    <x:xf numFmtId="0" fontId="12" fillId="7" borderId="9" xfId="0" applyNumberFormat="1" applyFont="1" applyFill="1" applyBorder="1" applyAlignment="1">
      <x:alignment vertical="top" wrapText="1"/>
    </x:xf>
    <x:xf numFmtId="0" fontId="11" fillId="8" borderId="9" xfId="0" applyNumberFormat="1" applyFont="1" applyFill="1" applyBorder="1" applyAlignment="1">
      <x:alignment vertical="top" wrapText="1"/>
    </x:xf>
    <x:xf numFmtId="0" fontId="13" fillId="8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64748B"/>
      </x:font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2ce3f13b34820" /><Relationship Type="http://schemas.openxmlformats.org/officeDocument/2006/relationships/theme" Target="/xl/theme/theme1.xml" Id="R102fb730f58a4316" /><Relationship Type="http://schemas.openxmlformats.org/officeDocument/2006/relationships/sharedStrings" Target="/xl/sharedStrings.xml" Id="Rd725cd0ec5c04c12" /><Relationship Type="http://schemas.openxmlformats.org/officeDocument/2006/relationships/worksheet" Target="/xl/worksheets/sheet1.xml" Id="R58ce68ab607c4496" /><Relationship Type="http://schemas.openxmlformats.org/officeDocument/2006/relationships/worksheet" Target="/xl/worksheets/sheet2.xml" Id="Rd0fd418138b44c1d" /></Relationships>
</file>

<file path=xl/tables/table1.xml><?xml version="1.0" encoding="utf-8"?>
<x:table xmlns:x="http://schemas.openxmlformats.org/spreadsheetml/2006/main" id="1" name="KrtAuditTable" displayName="KrtAuditTable" ref="A7:R62" headerRowCount="1" totalsRowCount="0" totalsRowShown="0">
  <x:tableColumns count="18">
    <x:tableColumn id="1" name="Проект КРТ"/>
    <x:tableColumn id="2" name="Округ"/>
    <x:tableColumn id="3" name="Район"/>
    <x:tableColumn id="4" name="Статус каталога"/>
    <x:tableColumn id="5" name="Площадь, га"/>
    <x:tableColumn id="6" name="Объём строительства, м²"/>
    <x:tableColumn id="7" name="Итог доступности"/>
    <x:tableColumn id="8" name="Оператор КРТ (юридический)"/>
    <x:tableColumn id="9" name="Застройщик / правообладатель"/>
    <x:tableColumn id="10" name="Торги на право договора КРТ"/>
    <x:tableColumn id="11" name="Реновация"/>
    <x:tableColumn id="12" name="Роль Фонда реновации"/>
    <x:tableColumn id="13" name="Основание и оговорки"/>
    <x:tableColumn id="14" name="Надёжность"/>
    <x:tableColumn id="15" name="Карточка КРТ"/>
    <x:tableColumn id="16" name="Источник 1"/>
    <x:tableColumn id="17" name="Источник 2"/>
    <x:tableColumn id="18" name="Дата проверк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DevelopAid Audi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D4ED8"/>
      </a:accent1>
      <a:accent2>
        <a:srgbClr val="0F766E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DevelopAid Audi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06ecee0a094c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9" hidden="0" customWidth="1"/>
    <x:col min="3" max="3" width="18" hidden="0" customWidth="1"/>
    <x:col min="4" max="4" width="14" hidden="0" customWidth="1"/>
    <x:col min="5" max="5" width="12" hidden="0" customWidth="1"/>
    <x:col min="6" max="6" width="16" hidden="0" customWidth="1"/>
    <x:col min="7" max="7" width="28" hidden="0" customWidth="1"/>
    <x:col min="8" max="8" width="36" hidden="0" customWidth="1"/>
    <x:col min="9" max="9" width="42" hidden="0" customWidth="1"/>
    <x:col min="10" max="10" width="43" hidden="0" customWidth="1"/>
    <x:col min="11" max="11" width="32" hidden="0" customWidth="1"/>
    <x:col min="12" max="12" width="42" hidden="0" customWidth="1"/>
    <x:col min="13" max="13" width="64" hidden="0" customWidth="1"/>
    <x:col min="14" max="14" width="27" hidden="0" customWidth="1"/>
    <x:col min="15" max="15" width="35" hidden="0" customWidth="1"/>
    <x:col min="16" max="16" width="35" hidden="0" customWidth="1"/>
    <x:col min="17" max="17" width="35" hidden="0" customWidth="1"/>
    <x:col min="18" max="18" width="13" hidden="0" customWidth="1"/>
  </x:cols>
  <x:sheetData>
    <x:row r="1" ht="36" customHeight="1">
      <x:c r="A1" s="3" t="str">
        <x:v>КРТ Москвы — оператор, торги и реновация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2.5" customHeight="1">
      <x:c r="A2" s="6" t="str">
        <x:v>Проверено 02.09.2026 · 55 уникальных проектов (в исходнике было 56 строк: Бескудниково дублировалось) · «Не найдено» не означает «нет»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8" customHeight="1">
      <x:c r="A3" s="13" t="str">
        <x:v>Проектов</x:v>
      </x:c>
      <x:c r="B3" s="14"/>
      <x:c r="C3" s="13" t="str">
        <x:v>Реновация подтверждена</x:v>
      </x:c>
      <x:c r="D3" s="14"/>
      <x:c r="E3" s="13" t="str">
        <x:v>Торги найдены</x:v>
      </x:c>
      <x:c r="F3" s="14"/>
      <x:c r="G3" s="13" t="str">
        <x:v>Оператор установлен</x:v>
      </x:c>
      <x:c r="H3" s="14"/>
      <x:c r="I3" s="13" t="str">
        <x:v>Занято / в реализации</x:v>
      </x:c>
      <x:c r="J3" s="14"/>
      <x:c r="K3" s="13" t="str">
        <x:v>Статус не установлен</x:v>
      </x:c>
      <x:c r="L3" s="14"/>
      <x:c r="M3" s="37" t="str">
        <x:v>Ключевой принцип: бренд ЖК, правообладатель, застройщик и юридический оператор КРТ не считаются одним лицом без адресного договора или прямой официальной формулировки.</x:v>
      </x:c>
      <x:c r="N3" s="38"/>
      <x:c r="O3" s="38"/>
      <x:c r="P3" s="38"/>
      <x:c r="Q3" s="38"/>
      <x:c r="R3" s="39"/>
    </x:row>
    <x:row r="4" ht="26.25" customHeight="1">
      <x:c r="A4" s="21" t="n">
        <x:f>COUNTA(A8:A62)</x:f>
        <x:v>55</x:v>
      </x:c>
      <x:c r="B4" s="22"/>
      <x:c r="C4" s="21" t="n">
        <x:f>COUNTIF(K8:K62,"Да — предусмотрено жильё для программы реновации")+COUNTIF(K8:K62,"Да — 79 010 м² жилья для программы реновации")+COUNTIF(K8:K62,"Да — более 300 тыс. м² жилья для программы реновации")+COUNTIF(K8:K62,"Да — не менее 11 100 м² жилья для программы реновации")+COUNTIF(K8:K62,"Да — не менее 15 100 м² жилья для программы реновации")+COUNTIF(K8:K62,"Да — жильё для программы реновации")+COUNTIF(K8:K62,"Да — более 165 тыс. м² жилья для программы реновации")+COUNTIF(K8:K62,"Да — проект содействует программе реновации")+COUNTIF(K8:K62,"Да — 35 000 м² жилья для программы реновации")+COUNTIF(K8:K62,"Да — 9 700 м² жилья для программы реновации")</x:f>
        <x:v>15</x:v>
      </x:c>
      <x:c r="D4" s="22"/>
      <x:c r="E4" s="21" t="n">
        <x:f>COUNTIF(J8:J62,"Торги объявлены 28.05.2026; результат не найден")+COUNTIF(J8:J62,"Аукцион на право договора КРТ; начальная цена 2 403 657 113,51 ₽; заявки до 21.09.2026")+COUNTIF(J8:J62,"Город анонсировал выставление на торги 06.10.2025; публикация результата не найдена")+COUNTIF(J8:J62,"Торги завершены; победитель — ГК ФСК")+COUNTIF(J8:J62,"Торги открыты 25.05.2026; результат не найден")+COUNTIF(J8:J62,"Приём заявок на торги открыт 19.12.2025; результат не найден")+COUNTIF(J8:J62,"Торги объявлены 19.05.2026; 25.06.2026 сообщено, что инвестор не найден")</x:f>
        <x:v>9</x:v>
      </x:c>
      <x:c r="F4" s="22"/>
      <x:c r="G4" s="21" t="n">
        <x:f>COUNTIF(H8:H62,"Московский фонд реновации жилой застройки")+COUNTIF(H8:H62,"ГК ФСК / проектная компания ООО «ТПУ Боровское шоссе 2»")+COUNTIF(H8:H62,"ООО «КРТ «Магистральные улицы»")</x:f>
        <x:v>3</x:v>
      </x:c>
      <x:c r="H4" s="22"/>
      <x:c r="I4" s="21" t="n">
        <x:f>COUNTIF(G8:G62,"Занято — договор КРТ заключён с правообладателями")+COUNTIF(G8:G62,"Занято городским оператором")+COUNTIF(G8:G62,"Занято — инвестор найден по итогам торгов")+COUNTIF(G8:G62,"Занято / проект официально отнесён к стадии реализации")+COUNTIF(G8:G62,"Занято / сформирован оператор")</x:f>
        <x:v>5</x:v>
      </x:c>
      <x:c r="J4" s="22"/>
      <x:c r="K4" s="21" t="n">
        <x:f>COUNTIF(G8:G62,"Не установлено")</x:f>
        <x:v>41</x:v>
      </x:c>
      <x:c r="L4" s="22"/>
      <x:c r="M4" s="40"/>
      <x:c r="N4" s="41"/>
      <x:c r="O4" s="41"/>
      <x:c r="P4" s="41"/>
      <x:c r="Q4" s="41"/>
      <x:c r="R4" s="42"/>
    </x:row>
    <x:row r="6" ht="18.75" customHeight="1">
      <x:c r="A6" s="43" t="str">
        <x:v>Фильтруйте столбцы G–L. Полные URL приведены в трёх последних колонках; «—» означает, что отдельная адресная публикация не найдена.</x:v>
      </x:c>
      <x:c r="B6" s="43"/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</x:row>
    <x:row r="7" ht="36" customHeight="1">
      <x:c r="A7" s="52" t="str">
        <x:v>Проект КРТ</x:v>
      </x:c>
      <x:c r="B7" s="52" t="str">
        <x:v>Округ</x:v>
      </x:c>
      <x:c r="C7" s="52" t="str">
        <x:v>Район</x:v>
      </x:c>
      <x:c r="D7" s="52" t="str">
        <x:v>Статус каталога</x:v>
      </x:c>
      <x:c r="E7" s="52" t="str">
        <x:v>Площадь, га</x:v>
      </x:c>
      <x:c r="F7" s="52" t="str">
        <x:v>Объём строительства, м²</x:v>
      </x:c>
      <x:c r="G7" s="52" t="str">
        <x:v>Итог доступности</x:v>
      </x:c>
      <x:c r="H7" s="52" t="str">
        <x:v>Оператор КРТ (юридический)</x:v>
      </x:c>
      <x:c r="I7" s="52" t="str">
        <x:v>Застройщик / правообладатель</x:v>
      </x:c>
      <x:c r="J7" s="52" t="str">
        <x:v>Торги на право договора КРТ</x:v>
      </x:c>
      <x:c r="K7" s="52" t="str">
        <x:v>Реновация</x:v>
      </x:c>
      <x:c r="L7" s="52" t="str">
        <x:v>Роль Фонда реновации</x:v>
      </x:c>
      <x:c r="M7" s="52" t="str">
        <x:v>Основание и оговорки</x:v>
      </x:c>
      <x:c r="N7" s="52" t="str">
        <x:v>Надёжность</x:v>
      </x:c>
      <x:c r="O7" s="52" t="str">
        <x:v>Карточка КРТ</x:v>
      </x:c>
      <x:c r="P7" s="52" t="str">
        <x:v>Источник 1</x:v>
      </x:c>
      <x:c r="Q7" s="52" t="str">
        <x:v>Источник 2</x:v>
      </x:c>
      <x:c r="R7" s="52" t="str">
        <x:v>Дата проверки</x:v>
      </x:c>
    </x:row>
    <x:row r="8" ht="58.5" customHeight="1">
      <x:c r="A8" s="53" t="str">
        <x:v>пр-кт Севастопольский, вл. 20Б; Зюзинская ул., влд. 3</x:v>
      </x:c>
      <x:c r="B8" s="54" t="str">
        <x:v>ЮЗАО</x:v>
      </x:c>
      <x:c r="C8" s="54" t="str">
        <x:v>Котловка</x:v>
      </x:c>
      <x:c r="D8" s="54" t="str">
        <x:v>Планируемый</x:v>
      </x:c>
      <x:c r="E8" s="55" t="n">
        <x:v>0.51</x:v>
      </x:c>
      <x:c r="F8" s="56"/>
      <x:c r="G8" s="47" t="str">
        <x:v>Не установлено</x:v>
      </x:c>
      <x:c r="H8" s="47" t="str">
        <x:v>Не найдено опубликованного подтверждения</x:v>
      </x:c>
      <x:c r="I8" s="47" t="str">
        <x:v>Не установлен</x:v>
      </x:c>
      <x:c r="J8" s="47" t="str">
        <x:v>Торги на право договора КРТ не найдены в открытой выдаче</x:v>
      </x:c>
      <x:c r="K8" s="47" t="str">
        <x:v>Да — предусмотрено жильё для программы реновации</x:v>
      </x:c>
      <x:c r="L8" s="47" t="str">
        <x:v>Предусмотрено соглашение с Московским фондом реновации; это не доказывает статус оператора КРТ</x:v>
      </x:c>
      <x:c r="M8" s="47" t="str">
        <x:v>Проект решения прямо предусматривает жильё для реновации и соглашение с Московским фондом реновации.</x:v>
      </x:c>
      <x:c r="N8" s="47" t="str">
        <x:v>Высокая</x:v>
      </x:c>
      <x:c r="O8" s="58" t="str">
        <x:v>https://krt.mos.ru/projects/sevastopolskiy-pr-kt-vl-20b-zyuzinskaya-ul-vl-3</x:v>
      </x:c>
      <x:c r="P8" s="58" t="str">
        <x:v>https://www.mos.ru/upload/documents/files/3815/Proekt_resheniya_Sevastopolskii_Zuzinskaya_pyblikaciya.pdf</x:v>
      </x:c>
      <x:c r="Q8" s="58" t="str">
        <x:v>—</x:v>
      </x:c>
      <x:c r="R8" s="47" t="str">
        <x:v>02.09.2026</x:v>
      </x:c>
    </x:row>
    <x:row r="9" ht="58.5" customHeight="1">
      <x:c r="A9" s="53" t="str">
        <x:v>Зеленый проспект, влд. 2, Зеленый проспект, 3/10 стр. 1 и стр. 15; ул. Металлургов, влд. 60А; Новогиреевская ул., влд. 26.</x:v>
      </x:c>
      <x:c r="B9" s="54" t="str">
        <x:v>ВАО</x:v>
      </x:c>
      <x:c r="C9" s="54" t="str">
        <x:v>Перово</x:v>
      </x:c>
      <x:c r="D9" s="54" t="str">
        <x:v>Планируемый</x:v>
      </x:c>
      <x:c r="E9" s="55" t="n">
        <x:v>2.28</x:v>
      </x:c>
      <x:c r="F9" s="56" t="n">
        <x:v>79010</x:v>
      </x:c>
      <x:c r="G9" s="47" t="str">
        <x:v>Не установлено</x:v>
      </x:c>
      <x:c r="H9" s="47" t="str">
        <x:v>Не найдено опубликованного подтверждения</x:v>
      </x:c>
      <x:c r="I9" s="47" t="str">
        <x:v>Не установлен</x:v>
      </x:c>
      <x:c r="J9" s="47" t="str">
        <x:v>Торги на право договора КРТ не найдены в открытой выдаче</x:v>
      </x:c>
      <x:c r="K9" s="47" t="str">
        <x:v>Да — 79 010 м² жилья для программы реновации</x:v>
      </x:c>
      <x:c r="L9" s="47" t="str">
        <x:v>Предусмотрено соглашение с Московским фондом реновации; оператор КРТ не назван</x:v>
      </x:c>
      <x:c r="M9" s="47" t="str">
        <x:v>Проект решения содержит объём жилья для реновации и обязательное соглашение с Фондом.</x:v>
      </x:c>
      <x:c r="N9" s="47" t="str">
        <x:v>Высокая</x:v>
      </x:c>
      <x:c r="O9" s="58" t="str">
        <x:v>https://krt.mos.ru/projects/zelenyy-pr-kt-vl-2-zelenyy-pr-kt-z-u-3-vl-3-10-str-1-metallu</x:v>
      </x:c>
      <x:c r="P9" s="58" t="str">
        <x:v>https://www.mos.ru/upload/documents/files/4061/Proekt_resheniya_Zelenii_VAO_pyblikaciya.pdf</x:v>
      </x:c>
      <x:c r="Q9" s="58" t="str">
        <x:v>—</x:v>
      </x:c>
      <x:c r="R9" s="47" t="str">
        <x:v>02.09.2026</x:v>
      </x:c>
    </x:row>
    <x:row r="10" ht="58.5" customHeight="1">
      <x:c r="A10" s="53" t="str">
        <x:v>Полимерная ул., вл. 8 (Мартеновская ул.)</x:v>
      </x:c>
      <x:c r="B10" s="54" t="str">
        <x:v>ВАО</x:v>
      </x:c>
      <x:c r="C10" s="54" t="str">
        <x:v>Новогиреево</x:v>
      </x:c>
      <x:c r="D10" s="54" t="str">
        <x:v>Планируемый</x:v>
      </x:c>
      <x:c r="E10" s="55" t="n">
        <x:v>12.97</x:v>
      </x:c>
      <x:c r="F10" s="56" t="n">
        <x:v>305440</x:v>
      </x:c>
      <x:c r="G10" s="47" t="str">
        <x:v>Не установлено</x:v>
      </x:c>
      <x:c r="H10" s="47" t="str">
        <x:v>Не найдено опубликованного подтверждения</x:v>
      </x:c>
      <x:c r="I10" s="47" t="str">
        <x:v>Не установлен</x:v>
      </x:c>
      <x:c r="J10" s="47" t="str">
        <x:v>Торги на право договора КРТ не найдены в открытой выдаче</x:v>
      </x:c>
      <x:c r="K10" s="47" t="str">
        <x:v>Да — более 300 тыс. м² жилья для программы реновации</x:v>
      </x:c>
      <x:c r="L10" s="47" t="str">
        <x:v>Участие Фонда как оператора/застройщика в найденной публикации не названо</x:v>
      </x:c>
      <x:c r="M10" s="47" t="str">
        <x:v>Адресная публикация КРТ прямо указывает назначение жилья для программы реновации.</x:v>
      </x:c>
      <x:c r="N10" s="47" t="str">
        <x:v>Высокая</x:v>
      </x:c>
      <x:c r="O10" s="58" t="str">
        <x:v>https://krt.mos.ru/projects/polimernaya-ul-vl-8-martenovskaya-ul-</x:v>
      </x:c>
      <x:c r="P10" s="58" t="str">
        <x:v>https://krt.mos.ru/news/tri-uchastka-reorganizuyut-na-vostoke-stolitsy-po-proektu-krt-/</x:v>
      </x:c>
      <x:c r="Q10" s="58" t="str">
        <x:v>—</x:v>
      </x:c>
      <x:c r="R10" s="47" t="str">
        <x:v>02.09.2026</x:v>
      </x:c>
    </x:row>
    <x:row r="11" ht="58.5" customHeight="1">
      <x:c r="A11" s="53" t="str">
        <x:v>Маршала Воробьева ул., вл. 12</x:v>
      </x:c>
      <x:c r="B11" s="54" t="str">
        <x:v>СЗАО</x:v>
      </x:c>
      <x:c r="C11" s="54" t="str">
        <x:v>Строгино</x:v>
      </x:c>
      <x:c r="D11" s="54" t="str">
        <x:v>Планируемый</x:v>
      </x:c>
      <x:c r="E11" s="55" t="n">
        <x:v>10.24</x:v>
      </x:c>
      <x:c r="F11" s="56" t="n">
        <x:v>323796</x:v>
      </x:c>
      <x:c r="G11" s="47" t="str">
        <x:v>Занято — договор КРТ заключён с правообладателями</x:v>
      </x:c>
      <x:c r="H11" s="47" t="str">
        <x:v>Правообладатели трёх участков; юридические лица в официальной новости не названы</x:v>
      </x:c>
      <x:c r="I11" s="47" t="str">
        <x:v>ПИК — девелопер ЖК «Строгино 360»; это не доказательство статуса оператора КРТ</x:v>
      </x:c>
      <x:c r="J11" s="47" t="str">
        <x:v>Нет подтверждения торгов; договор заключён с правообладателями</x:v>
      </x:c>
      <x:c r="K11" s="47" t="str">
        <x:v>Не подтверждена</x:v>
      </x:c>
      <x:c r="L11" s="47" t="str">
        <x:v>Не установлена</x:v>
      </x:c>
      <x:c r="M11" s="47" t="str">
        <x:v>Официально подтверждён договор с правообладателями трёх участков. ЖК по адресу продаётся под брендом ПИК, но юридический оператор КРТ не раскрыт.</x:v>
      </x:c>
      <x:c r="N11" s="47" t="str">
        <x:v>Высокая по договору; средняя по связи с девелопером</x:v>
      </x:c>
      <x:c r="O11" s="58" t="str">
        <x:v>https://krt.mos.ru/projects/marshala-vorobeva-ul-vl-12</x:v>
      </x:c>
      <x:c r="P11" s="58" t="str">
        <x:v>https://krt.mos.ru/news/na-ulitse-marshala-vorobeva-poyavyatsya-zhilye-doma-i-uchebno-vospitatelnyy-kompleks-v-ramkakh-progr/</x:v>
      </x:c>
      <x:c r="Q11" s="58" t="str">
        <x:v>https://realty.yandex.ru/moskva_i_moskovskaya_oblast/kupit/novostrojka/strogino-360-4208346/</x:v>
      </x:c>
      <x:c r="R11" s="47" t="str">
        <x:v>02.09.2026</x:v>
      </x:c>
    </x:row>
    <x:row r="12" ht="58.5" customHeight="1">
      <x:c r="A12" s="53" t="str">
        <x:v>Нагорная ул., д. 37, стр. 2 и стр. 3</x:v>
      </x:c>
      <x:c r="B12" s="54" t="str">
        <x:v>ЮЗАО</x:v>
      </x:c>
      <x:c r="C12" s="54" t="str">
        <x:v>Котловка</x:v>
      </x:c>
      <x:c r="D12" s="54" t="str">
        <x:v>Планируемый</x:v>
      </x:c>
      <x:c r="E12" s="55" t="n">
        <x:v>0.63</x:v>
      </x:c>
      <x:c r="F12" s="56" t="n">
        <x:v>18200</x:v>
      </x:c>
      <x:c r="G12" s="47" t="str">
        <x:v>Не установлено</x:v>
      </x:c>
      <x:c r="H12" s="47" t="str">
        <x:v>Не найдено опубликованного подтверждения</x:v>
      </x:c>
      <x:c r="I12" s="47" t="str">
        <x:v>Не установлен</x:v>
      </x:c>
      <x:c r="J12" s="47" t="str">
        <x:v>Торги на право договора КРТ не найдены в открытой выдаче</x:v>
      </x:c>
      <x:c r="K12" s="47" t="str">
        <x:v>Да — не менее 11 100 м² жилья для программы реновации</x:v>
      </x:c>
      <x:c r="L12" s="47" t="str">
        <x:v>Участие Фонда как оператора/застройщика отдельно не подтверждено</x:v>
      </x:c>
      <x:c r="M12" s="47" t="str">
        <x:v>Адресный проект решения и официальная публикация указывают жильё для реновации.</x:v>
      </x:c>
      <x:c r="N12" s="47" t="str">
        <x:v>Высокая</x:v>
      </x:c>
      <x:c r="O12" s="58" t="str">
        <x:v>https://krt.mos.ru/projects/nagornaya-ul-d-37-str-2-i-str-3</x:v>
      </x:c>
      <x:c r="P12" s="58" t="str">
        <x:v>https://news.google.com/rss/articles/CBMipgFBVV95cUxOTElIOFloTVl6V2lCSXdnYkNQZXhKZ19fN0FwMWMyeDNPck8wN19xdTk3RmxpODRyQWJEckE1QmJXYjVrTTFsTm0xUzZHVHdLaldNTWlhWFdWMnJIejZDSWdDdjB5TW9hN2JHMURTbnY3bDBuY09FdmdkYVVnMkZ2TFU1ZlpKZDY3SDEyTzFsVU9WdDUtT2xVTldFWEVwOHg0NTc5Q2Fn?oc=5</x:v>
      </x:c>
      <x:c r="Q12" s="58" t="str">
        <x:v>—</x:v>
      </x:c>
      <x:c r="R12" s="47" t="str">
        <x:v>02.09.2026</x:v>
      </x:c>
    </x:row>
    <x:row r="13" ht="58.5" customHeight="1">
      <x:c r="A13" s="53" t="str">
        <x:v>Фестивальная ул., вл. 53А</x:v>
      </x:c>
      <x:c r="B13" s="54" t="str">
        <x:v>САО</x:v>
      </x:c>
      <x:c r="C13" s="54" t="str">
        <x:v>Ховрино</x:v>
      </x:c>
      <x:c r="D13" s="54" t="str">
        <x:v>Планируемый</x:v>
      </x:c>
      <x:c r="E13" s="55" t="n">
        <x:v>0.72</x:v>
      </x:c>
      <x:c r="F13" s="56" t="n">
        <x:v>22520</x:v>
      </x:c>
      <x:c r="G13" s="47" t="str">
        <x:v>Не установлено</x:v>
      </x:c>
      <x:c r="H13" s="47" t="str">
        <x:v>Не найдено опубликованного подтверждения</x:v>
      </x:c>
      <x:c r="I13" s="47" t="str">
        <x:v>Не установлен; прежняя автоподстановка Бореалис девелопмент не подтверждена адресным договором/решением</x:v>
      </x:c>
      <x:c r="J13" s="47" t="str">
        <x:v>Торги на право договора КРТ не найдены в открытой выдаче</x:v>
      </x:c>
      <x:c r="K13" s="47" t="str">
        <x:v>Не подтверждена</x:v>
      </x:c>
      <x:c r="L13" s="47" t="str">
        <x:v>Не установлена</x:v>
      </x:c>
      <x:c r="M13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13" s="47" t="str">
        <x:v>Ограниченная</x:v>
      </x:c>
      <x:c r="O13" s="58" t="str">
        <x:v>https://krt.mos.ru/projects/festivalnaya-ul-vl-53a</x:v>
      </x:c>
      <x:c r="P13" s="58" t="str">
        <x:v>—</x:v>
      </x:c>
      <x:c r="Q13" s="58" t="str">
        <x:v>—</x:v>
      </x:c>
      <x:c r="R13" s="47" t="str">
        <x:v>02.09.2026</x:v>
      </x:c>
    </x:row>
    <x:row r="14" ht="58.5" customHeight="1">
      <x:c r="A14" s="53" t="str">
        <x:v>вдоль Синельниковской ул.; 1-я Горловская улица, вл. 4</x:v>
      </x:c>
      <x:c r="B14" s="54" t="str">
        <x:v>ЮЗАО</x:v>
      </x:c>
      <x:c r="C14" s="54" t="str">
        <x:v>Южное Бутово</x:v>
      </x:c>
      <x:c r="D14" s="54" t="str">
        <x:v>Планируемый</x:v>
      </x:c>
      <x:c r="E14" s="55" t="n">
        <x:v>14.54</x:v>
      </x:c>
      <x:c r="F14" s="56" t="n">
        <x:v>131720</x:v>
      </x:c>
      <x:c r="G14" s="47" t="str">
        <x:v>Доступность зависит от результата торгов</x:v>
      </x:c>
      <x:c r="H14" s="47" t="str">
        <x:v>Не найдено опубликованного подтверждения</x:v>
      </x:c>
      <x:c r="I14" s="47" t="str">
        <x:v>Не установлен</x:v>
      </x:c>
      <x:c r="J14" s="47" t="str">
        <x:v>Торги объявлены 28.05.2026; результат не найден</x:v>
      </x:c>
      <x:c r="K14" s="47" t="str">
        <x:v>Не подтверждена</x:v>
      </x:c>
      <x:c r="L14" s="47" t="str">
        <x:v>Не установлена</x:v>
      </x:c>
      <x:c r="M14" s="47" t="str">
        <x:v>Город выставил на торги право комплексного развития двух участков в Южном Бутове - Официальный сайт Мэра Москвы — Официальный сайт Мэра Москвы, Thu, 28 May 2026</x:v>
      </x:c>
      <x:c r="N14" s="47" t="str">
        <x:v>Высокая</x:v>
      </x:c>
      <x:c r="O14" s="58" t="str">
        <x:v>https://krt.mos.ru/projects/1-ya-gorlovskaya-ul-vl-4-vdol-sinelnikovskoy-ul</x:v>
      </x:c>
      <x:c r="P14" s="58" t="str">
        <x:v>https://news.google.com/rss/articles/CBMiUEFVX3lxTE45My1EdUl0Uk11NzRscGotc3NKSjV6T2VHMXNQNUV4YldmejBZQksxbW5nUVBuQ3NTME5oYktDcDVxb1BUa3NmdjFpdDBKSnZx?oc=5</x:v>
      </x:c>
      <x:c r="Q14" s="58" t="str">
        <x:v>—</x:v>
      </x:c>
      <x:c r="R14" s="47" t="str">
        <x:v>02.09.2026</x:v>
      </x:c>
    </x:row>
    <x:row r="15" ht="58.5" customHeight="1">
      <x:c r="A15" s="53" t="str">
        <x:v>Задонский проезд, влд. 1А, Ясеневая ул., влд. 48</x:v>
      </x:c>
      <x:c r="B15" s="54" t="str">
        <x:v>ЮАО</x:v>
      </x:c>
      <x:c r="C15" s="54" t="str">
        <x:v>Зябликово</x:v>
      </x:c>
      <x:c r="D15" s="54" t="str">
        <x:v>Планируемый</x:v>
      </x:c>
      <x:c r="E15" s="55" t="n">
        <x:v>14.59</x:v>
      </x:c>
      <x:c r="F15" s="56" t="n">
        <x:v>200150</x:v>
      </x:c>
      <x:c r="G15" s="47" t="str">
        <x:v>Не установлено</x:v>
      </x:c>
      <x:c r="H15" s="47" t="str">
        <x:v>Не найдено опубликованного подтверждения</x:v>
      </x:c>
      <x:c r="I15" s="47" t="str">
        <x:v>Не установлен</x:v>
      </x:c>
      <x:c r="J15" s="47" t="str">
        <x:v>Торги на право договора КРТ не найдены в открытой выдаче</x:v>
      </x:c>
      <x:c r="K15" s="47" t="str">
        <x:v>Да — не менее 15 100 м² жилья для программы реновации</x:v>
      </x:c>
      <x:c r="L15" s="47" t="str">
        <x:v>Участие Фонда как оператора/застройщика отдельно не подтверждено</x:v>
      </x:c>
      <x:c r="M15" s="47" t="str">
        <x:v>В адресном проекте решения указан минимальный объём жилья для программы реновации.</x:v>
      </x:c>
      <x:c r="N15" s="47" t="str">
        <x:v>Высокая</x:v>
      </x:c>
      <x:c r="O15" s="58" t="str">
        <x:v>https://krt.mos.ru/projects/yasenevaya-ul-vl-48</x:v>
      </x:c>
      <x:c r="P15" s="58" t="str">
        <x:v>—</x:v>
      </x:c>
      <x:c r="Q15" s="58" t="str">
        <x:v>—</x:v>
      </x:c>
      <x:c r="R15" s="47" t="str">
        <x:v>02.09.2026</x:v>
      </x:c>
    </x:row>
    <x:row r="16" ht="58.5" customHeight="1">
      <x:c r="A16" s="53" t="str">
        <x:v>Нижняя Красносельская ул., влд. 32-40; Ольховская ул., влд. 9-11, 16</x:v>
      </x:c>
      <x:c r="B16" s="54" t="str">
        <x:v>ЦАО</x:v>
      </x:c>
      <x:c r="C16" s="54" t="str">
        <x:v>Басманный</x:v>
      </x:c>
      <x:c r="D16" s="54" t="str">
        <x:v>Планируемый</x:v>
      </x:c>
      <x:c r="E16" s="55" t="n">
        <x:v>4.84</x:v>
      </x:c>
      <x:c r="F16" s="56" t="n">
        <x:v>221720</x:v>
      </x:c>
      <x:c r="G16" s="47" t="str">
        <x:v>Не установлено</x:v>
      </x:c>
      <x:c r="H16" s="47" t="str">
        <x:v>Не найдено опубликованного подтверждения</x:v>
      </x:c>
      <x:c r="I16" s="47" t="str">
        <x:v>Не установлен</x:v>
      </x:c>
      <x:c r="J16" s="47" t="str">
        <x:v>Торги на право договора КРТ не найдены в открытой выдаче</x:v>
      </x:c>
      <x:c r="K16" s="47" t="str">
        <x:v>Не подтверждена</x:v>
      </x:c>
      <x:c r="L16" s="47" t="str">
        <x:v>Не установлена</x:v>
      </x:c>
      <x:c r="M16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16" s="47" t="str">
        <x:v>Ограниченная</x:v>
      </x:c>
      <x:c r="O16" s="58" t="str">
        <x:v>https://krt.mos.ru/projects/nizhnyaya-krasnoselskaya-ul-vld-32-40-olkhovskaya-ul-vld-9-1</x:v>
      </x:c>
      <x:c r="P16" s="58" t="str">
        <x:v>—</x:v>
      </x:c>
      <x:c r="Q16" s="58" t="str">
        <x:v>—</x:v>
      </x:c>
      <x:c r="R16" s="47" t="str">
        <x:v>02.09.2026</x:v>
      </x:c>
    </x:row>
    <x:row r="17" ht="58.5" customHeight="1">
      <x:c r="A17" s="53" t="str">
        <x:v>ул. 1-я Владимирская, влд. 18А</x:v>
      </x:c>
      <x:c r="B17" s="54" t="str">
        <x:v>ВАО</x:v>
      </x:c>
      <x:c r="C17" s="54" t="str">
        <x:v>Перово</x:v>
      </x:c>
      <x:c r="D17" s="54" t="str">
        <x:v>Планируемый</x:v>
      </x:c>
      <x:c r="E17" s="55" t="n">
        <x:v>0.52</x:v>
      </x:c>
      <x:c r="F17" s="56" t="n">
        <x:v>18200</x:v>
      </x:c>
      <x:c r="G17" s="47" t="str">
        <x:v>Не установлено</x:v>
      </x:c>
      <x:c r="H17" s="47" t="str">
        <x:v>Не найдено опубликованного подтверждения</x:v>
      </x:c>
      <x:c r="I17" s="47" t="str">
        <x:v>Не установлен</x:v>
      </x:c>
      <x:c r="J17" s="47" t="str">
        <x:v>Торги на право договора КРТ не найдены в открытой выдаче</x:v>
      </x:c>
      <x:c r="K17" s="47" t="str">
        <x:v>Да — жильё для программы реновации</x:v>
      </x:c>
      <x:c r="L17" s="47" t="str">
        <x:v>Участие Фонда как оператора/застройщика отдельно не подтверждено</x:v>
      </x:c>
      <x:c r="M17" s="47" t="str">
        <x:v>По проекту КРТ на 1-й Владимирской улице появится жилье для программы реновации - Официальный сайт Мэра Москвы — Официальный сайт Мэра Москвы, Thu, 16 Oct 2025</x:v>
      </x:c>
      <x:c r="N17" s="47" t="str">
        <x:v>Высокая</x:v>
      </x:c>
      <x:c r="O17" s="58" t="str">
        <x:v>https://krt.mos.ru/projects/1-ya-vladimirskaya-ul-vl-18a</x:v>
      </x:c>
      <x:c r="P17" s="58" t="str">
        <x:v>https://news.google.com/rss/articles/CBMiUEFVX3lxTE4zc0FmQjFiVTBaRTZBajhGcHVPOUdiMTg5Qjk3QVVDWjFNMG5iMnJRekRkdjFvNVMyV3dDLUJiNnJESjhrVHFZSG1sUnNPUEQ5?oc=5</x:v>
      </x:c>
      <x:c r="Q17" s="58" t="str">
        <x:v>—</x:v>
      </x:c>
      <x:c r="R17" s="47" t="str">
        <x:v>02.09.2026</x:v>
      </x:c>
    </x:row>
    <x:row r="18" ht="58.5" customHeight="1">
      <x:c r="A18" s="53" t="str">
        <x:v>Дербеневская ул. тер. 2</x:v>
      </x:c>
      <x:c r="B18" s="54" t="str">
        <x:v>ЮАО</x:v>
      </x:c>
      <x:c r="C18" s="54" t="str">
        <x:v>Даниловский</x:v>
      </x:c>
      <x:c r="D18" s="54" t="str">
        <x:v>Планируемый</x:v>
      </x:c>
      <x:c r="E18" s="55" t="n">
        <x:v>5.3</x:v>
      </x:c>
      <x:c r="F18" s="56" t="n">
        <x:v>153320</x:v>
      </x:c>
      <x:c r="G18" s="47" t="str">
        <x:v>Не установлено</x:v>
      </x:c>
      <x:c r="H18" s="47" t="str">
        <x:v>Не найдено опубликованного подтверждения</x:v>
      </x:c>
      <x:c r="I18" s="47" t="str">
        <x:v>Не установлен; прежняя автоподстановка TEKTA не подтверждена адресным договором/решением</x:v>
      </x:c>
      <x:c r="J18" s="47" t="str">
        <x:v>Торги на право договора КРТ не найдены в открытой выдаче</x:v>
      </x:c>
      <x:c r="K18" s="47" t="str">
        <x:v>Не подтверждена</x:v>
      </x:c>
      <x:c r="L18" s="47" t="str">
        <x:v>Не установлена</x:v>
      </x:c>
      <x:c r="M18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18" s="47" t="str">
        <x:v>Ограниченная</x:v>
      </x:c>
      <x:c r="O18" s="58" t="str">
        <x:v>https://krt.mos.ru/projects/derbenevskaya-ul-ter-2</x:v>
      </x:c>
      <x:c r="P18" s="58" t="str">
        <x:v>—</x:v>
      </x:c>
      <x:c r="Q18" s="58" t="str">
        <x:v>—</x:v>
      </x:c>
      <x:c r="R18" s="47" t="str">
        <x:v>02.09.2026</x:v>
      </x:c>
    </x:row>
    <x:row r="19" ht="58.5" customHeight="1">
      <x:c r="A19" s="53" t="str">
        <x:v>ул. Удальцова, влд. 75А, ул. Веерная, влд. 1</x:v>
      </x:c>
      <x:c r="B19" s="54" t="str">
        <x:v>ЗАО</x:v>
      </x:c>
      <x:c r="C19" s="54" t="str">
        <x:v>Проспект Вернадского</x:v>
      </x:c>
      <x:c r="D19" s="54" t="str">
        <x:v>Планируемый</x:v>
      </x:c>
      <x:c r="E19" s="55" t="n">
        <x:v>1.11</x:v>
      </x:c>
      <x:c r="F19" s="56" t="n">
        <x:v>40370</x:v>
      </x:c>
      <x:c r="G19" s="47" t="str">
        <x:v>Не установлено</x:v>
      </x:c>
      <x:c r="H19" s="47" t="str">
        <x:v>Не найдено опубликованного подтверждения</x:v>
      </x:c>
      <x:c r="I19" s="47" t="str">
        <x:v>Не установлен</x:v>
      </x:c>
      <x:c r="J19" s="47" t="str">
        <x:v>Торги на право договора КРТ не найдены в открытой выдаче</x:v>
      </x:c>
      <x:c r="K19" s="47" t="str">
        <x:v>Не подтверждена для адресов 75А и Веерная, 1</x:v>
      </x:c>
      <x:c r="L19" s="47" t="str">
        <x:v>Не установлена</x:v>
      </x:c>
      <x:c r="M19" s="47" t="str">
        <x:v>Найденная публикация о реновации относится к другим адресам: Удальцова, 85А и Веерная, 1Б. Её нельзя переносить на эту строку.</x:v>
      </x:c>
      <x:c r="N19" s="47" t="str">
        <x:v>Высокая в части несовпадения адресов</x:v>
      </x:c>
      <x:c r="O19" s="58" t="str">
        <x:v>https://krt.mos.ru/projects/udaltsova-ul-vl-75a-85a</x:v>
      </x:c>
      <x:c r="P19" s="58" t="str">
        <x:v>https://krt.mos.ru/news/dva-uchastka-reorganizuyut-po-programme-krt-na-zapade-moskvy/</x:v>
      </x:c>
      <x:c r="Q19" s="58" t="str">
        <x:v>—</x:v>
      </x:c>
      <x:c r="R19" s="47" t="str">
        <x:v>02.09.2026</x:v>
      </x:c>
    </x:row>
    <x:row r="20" ht="58.5" customHeight="1">
      <x:c r="A20" s="53" t="str">
        <x:v>Алтуфьевское шоссе тер. 1 (проект 2)</x:v>
      </x:c>
      <x:c r="B20" s="54" t="str">
        <x:v>СВАО</x:v>
      </x:c>
      <x:c r="C20" s="54" t="str">
        <x:v>Отрадное</x:v>
      </x:c>
      <x:c r="D20" s="54" t="str">
        <x:v>Планируемый</x:v>
      </x:c>
      <x:c r="E20" s="55" t="n">
        <x:v>14.34</x:v>
      </x:c>
      <x:c r="F20" s="56" t="n">
        <x:v>296640</x:v>
      </x:c>
      <x:c r="G20" s="47" t="str">
        <x:v>Точная стадия проекта 2 не отделена от общей территории</x:v>
      </x:c>
      <x:c r="H20" s="47" t="str">
        <x:v>Не найдено опубликованного подтверждения</x:v>
      </x:c>
      <x:c r="I20" s="47" t="str">
        <x:v>Не установлен</x:v>
      </x:c>
      <x:c r="J20" s="47" t="str">
        <x:v>Торги на право договора КРТ не найдены в открытой выдаче</x:v>
      </x:c>
      <x:c r="K20" s="47" t="str">
        <x:v>Не подтверждена</x:v>
      </x:c>
      <x:c r="L20" s="47" t="str">
        <x:v>Не установлена</x:v>
      </x:c>
      <x:c r="M20" s="47" t="str">
        <x:v>Официальные новости подтверждают стройку в бывшей промзоне, но найденные материалы не разделяют территорию 1 и проект 2.</x:v>
      </x:c>
      <x:c r="N20" s="47" t="str">
        <x:v>Средняя</x:v>
      </x:c>
      <x:c r="O20" s="58" t="str">
        <x:v>https://krt.mos.ru/projects/altufevskoe-shosse-ter-1-proekt-2</x:v>
      </x:c>
      <x:c r="P20" s="58" t="str">
        <x:v>—</x:v>
      </x:c>
      <x:c r="Q20" s="58" t="str">
        <x:v>—</x:v>
      </x:c>
      <x:c r="R20" s="47" t="str">
        <x:v>02.09.2026</x:v>
      </x:c>
    </x:row>
    <x:row r="21" ht="58.5" customHeight="1">
      <x:c r="A21" s="53" t="str">
        <x:v>ТПУ Опарина</x:v>
      </x:c>
      <x:c r="B21" s="54" t="str">
        <x:v>ЮЗАО</x:v>
      </x:c>
      <x:c r="C21" s="54" t="str">
        <x:v>Обручевский</x:v>
      </x:c>
      <x:c r="D21" s="54" t="str">
        <x:v>Планируемый</x:v>
      </x:c>
      <x:c r="E21" s="55" t="n">
        <x:v>6.76</x:v>
      </x:c>
      <x:c r="F21" s="56" t="n">
        <x:v>116400</x:v>
      </x:c>
      <x:c r="G21" s="47" t="str">
        <x:v>Не установлено</x:v>
      </x:c>
      <x:c r="H21" s="47" t="str">
        <x:v>Не найдено опубликованного подтверждения</x:v>
      </x:c>
      <x:c r="I21" s="47" t="str">
        <x:v>Не установлен</x:v>
      </x:c>
      <x:c r="J21" s="47" t="str">
        <x:v>Торги на право договора КРТ не найдены в открытой выдаче</x:v>
      </x:c>
      <x:c r="K21" s="47" t="str">
        <x:v>Не подтверждена</x:v>
      </x:c>
      <x:c r="L21" s="47" t="str">
        <x:v>Не установлена</x:v>
      </x:c>
      <x:c r="M21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21" s="47" t="str">
        <x:v>Ограниченная</x:v>
      </x:c>
      <x:c r="O21" s="58" t="str">
        <x:v>https://krt.mos.ru/projects/tpu-oparina</x:v>
      </x:c>
      <x:c r="P21" s="58" t="str">
        <x:v>—</x:v>
      </x:c>
      <x:c r="Q21" s="58" t="str">
        <x:v>—</x:v>
      </x:c>
      <x:c r="R21" s="47" t="str">
        <x:v>02.09.2026</x:v>
      </x:c>
    </x:row>
    <x:row r="22" ht="58.5" customHeight="1">
      <x:c r="A22" s="53" t="str">
        <x:v>Автозаводская ул., вл. 23, с. 16</x:v>
      </x:c>
      <x:c r="B22" s="54" t="str">
        <x:v>ЮАО</x:v>
      </x:c>
      <x:c r="C22" s="54" t="str">
        <x:v>Даниловский</x:v>
      </x:c>
      <x:c r="D22" s="54" t="str">
        <x:v>Планируемый</x:v>
      </x:c>
      <x:c r="E22" s="55" t="n">
        <x:v>0.83</x:v>
      </x:c>
      <x:c r="F22" s="56" t="n">
        <x:v>21580</x:v>
      </x:c>
      <x:c r="G22" s="47" t="str">
        <x:v>Не установлено</x:v>
      </x:c>
      <x:c r="H22" s="47" t="str">
        <x:v>Не найдено опубликованного подтверждения</x:v>
      </x:c>
      <x:c r="I22" s="47" t="str">
        <x:v>Не установлен; прежняя автоподстановка ООО «Оператор КРТ ЗИЛ» не подтверждена адресным договором/решением</x:v>
      </x:c>
      <x:c r="J22" s="47" t="str">
        <x:v>Торги на право договора КРТ не найдены в открытой выдаче</x:v>
      </x:c>
      <x:c r="K22" s="47" t="str">
        <x:v>Не подтверждена</x:v>
      </x:c>
      <x:c r="L22" s="47" t="str">
        <x:v>Не установлена</x:v>
      </x:c>
      <x:c r="M22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22" s="47" t="str">
        <x:v>Ограниченная</x:v>
      </x:c>
      <x:c r="O22" s="58" t="str">
        <x:v>https://krt.mos.ru/projects/avtozavodskaya-ul-vl-23-s-16</x:v>
      </x:c>
      <x:c r="P22" s="58" t="str">
        <x:v>—</x:v>
      </x:c>
      <x:c r="Q22" s="58" t="str">
        <x:v>—</x:v>
      </x:c>
      <x:c r="R22" s="47" t="str">
        <x:v>02.09.2026</x:v>
      </x:c>
    </x:row>
    <x:row r="23" ht="58.5" customHeight="1">
      <x:c r="A23" s="53" t="str">
        <x:v>Варшавское шоссе, вл. 37, Нагатинская ул., влд. 3А/6</x:v>
      </x:c>
      <x:c r="B23" s="54" t="str">
        <x:v>ЮАО</x:v>
      </x:c>
      <x:c r="C23" s="54" t="str">
        <x:v>Нагатино-Садовники</x:v>
      </x:c>
      <x:c r="D23" s="54" t="str">
        <x:v>Планируемый</x:v>
      </x:c>
      <x:c r="E23" s="55" t="n">
        <x:v>14.62</x:v>
      </x:c>
      <x:c r="F23" s="56" t="n">
        <x:v>443700</x:v>
      </x:c>
      <x:c r="G23" s="47" t="str">
        <x:v>Торги идут</x:v>
      </x:c>
      <x:c r="H23" s="47" t="str">
        <x:v>Не определён до итогов торгов</x:v>
      </x:c>
      <x:c r="I23" s="47" t="str">
        <x:v>ГК ФСК в старой выгрузке не подтверждена</x:v>
      </x:c>
      <x:c r="J23" s="47" t="str">
        <x:v>Аукцион на право договора КРТ; начальная цена 2 403 657 113,51 ₽; заявки до 21.09.2026</x:v>
      </x:c>
      <x:c r="K23" s="47" t="str">
        <x:v>Не подтверждена</x:v>
      </x:c>
      <x:c r="L23" s="47" t="str">
        <x:v>Не установлена</x:v>
      </x:c>
      <x:c r="M23" s="47" t="str">
        <x:v>Карточка лота на Росэлторге указана в разделе торгов по КРТ Москвы; срок заявок ещё не истёк на дату проверки.</x:v>
      </x:c>
      <x:c r="N23" s="47" t="str">
        <x:v>Высокая по торгам</x:v>
      </x:c>
      <x:c r="O23" s="58" t="str">
        <x:v>https://krt.mos.ru/projects/varshavskoe-shosse-vl-37-nagatinskaya-ul-vld-3a-6</x:v>
      </x:c>
      <x:c r="P23" s="58" t="str">
        <x:v>https://www.roseltorg.ru/imuschestvo/prochee/razvitie-territorii?sale=5&amp;okato[]=45000000000&amp;status[]=5&amp;status[]=0&amp;status[]=1&amp;page=1</x:v>
      </x:c>
      <x:c r="Q23" s="58" t="str">
        <x:v>—</x:v>
      </x:c>
      <x:c r="R23" s="47" t="str">
        <x:v>02.09.2026</x:v>
      </x:c>
    </x:row>
    <x:row r="24" ht="58.5" customHeight="1">
      <x:c r="A24" s="53" t="str">
        <x:v>Котляковская ул., вл. 8</x:v>
      </x:c>
      <x:c r="B24" s="54" t="str">
        <x:v>ЮАО</x:v>
      </x:c>
      <x:c r="C24" s="54" t="str">
        <x:v>Царицыно</x:v>
      </x:c>
      <x:c r="D24" s="54" t="str">
        <x:v>Планируемый</x:v>
      </x:c>
      <x:c r="E24" s="55" t="n">
        <x:v>9.4</x:v>
      </x:c>
      <x:c r="F24" s="56" t="n">
        <x:v>103020</x:v>
      </x:c>
      <x:c r="G24" s="47" t="str">
        <x:v>Занято городским оператором</x:v>
      </x:c>
      <x:c r="H24" s="47" t="str">
        <x:v>Московский фонд реновации жилой застройки</x:v>
      </x:c>
      <x:c r="I24" s="47" t="str">
        <x:v>Московский фонд реновации — застройщик; подрядчик выбран закупкой Фонда</x:v>
      </x:c>
      <x:c r="J24" s="47" t="str">
        <x:v>Не торги за право КРТ: закупка подрядчика действующим оператором</x:v>
      </x:c>
      <x:c r="K24" s="47" t="str">
        <x:v>Да — более 165 тыс. м² жилья для программы реновации</x:v>
      </x:c>
      <x:c r="L24" s="47" t="str">
        <x:v>Оператор КРТ и застройщик</x:v>
      </x:c>
      <x:c r="M24" s="47" t="str">
        <x:v>Официальная публикация прямо называет Московский фонд реновации оператором КРТ и застройщиком площадки бывшей промзоны «Котляково».</x:v>
      </x:c>
      <x:c r="N24" s="47" t="str">
        <x:v>Высокая</x:v>
      </x:c>
      <x:c r="O24" s="58" t="str">
        <x:v>https://krt.mos.ru/projects/kotlyakovskaya-ul-vl-8</x:v>
      </x:c>
      <x:c r="P24" s="58" t="str">
        <x:v>https://krt.mos.ru/news/opredeleny-podryadchiki-dlya-stroitelstva-zhilya-po-programme-renovatsii-v-ramkakh-trekh-proektov-kr/</x:v>
      </x:c>
      <x:c r="Q24" s="58" t="str">
        <x:v>—</x:v>
      </x:c>
      <x:c r="R24" s="47" t="str">
        <x:v>02.09.2026</x:v>
      </x:c>
    </x:row>
    <x:row r="25" ht="58.5" customHeight="1">
      <x:c r="A25" s="53" t="str">
        <x:v>Варшавское ш., влд. 83</x:v>
      </x:c>
      <x:c r="B25" s="54" t="str">
        <x:v>ЮАО</x:v>
      </x:c>
      <x:c r="C25" s="54" t="str">
        <x:v>Нагорный</x:v>
      </x:c>
      <x:c r="D25" s="54" t="str">
        <x:v>Планируемый</x:v>
      </x:c>
      <x:c r="E25" s="55" t="n">
        <x:v>0.25</x:v>
      </x:c>
      <x:c r="F25" s="56" t="n">
        <x:v>4380</x:v>
      </x:c>
      <x:c r="G25" s="47" t="str">
        <x:v>Не установлено</x:v>
      </x:c>
      <x:c r="H25" s="47" t="str">
        <x:v>Не найдено опубликованного подтверждения</x:v>
      </x:c>
      <x:c r="I25" s="47" t="str">
        <x:v>Не установлен</x:v>
      </x:c>
      <x:c r="J25" s="47" t="str">
        <x:v>Торги на право договора КРТ не найдены в открытой выдаче</x:v>
      </x:c>
      <x:c r="K25" s="47" t="str">
        <x:v>Да — жильё для программы реновации</x:v>
      </x:c>
      <x:c r="L25" s="47" t="str">
        <x:v>Участие Фонда как оператора/застройщика отдельно не подтверждено</x:v>
      </x:c>
      <x:c r="M25" s="47" t="str">
        <x:v>Жилье по реновации построят в районах Перово и Нагорный в рамках двух проектов КРТ– мэр - stroi.mos.ru — stroi.mos.ru, Thu, 26 Feb 2026</x:v>
      </x:c>
      <x:c r="N25" s="47" t="str">
        <x:v>Высокая</x:v>
      </x:c>
      <x:c r="O25" s="58" t="str">
        <x:v>https://krt.mos.ru/projects/varshavskoe-shosse-vld-83-str-1</x:v>
      </x:c>
      <x:c r="P25" s="58" t="str">
        <x:v>https://news.google.com/rss/articles/CBMiwAFBVV95cUxOeHhxRnRIbWxPVERVaHhXemp6Uk5OOUpNYS00R0JtdTY4SG5iSTdHd3NTUEdDVUNCRmx3WTgtdXNPaW45dEZzZ2xuUE5URm10Q0NYbFVlTXFsZ004d3d6UGduRjdONzRHcWZWUW80Qk1tMy1JMV9NVjFNNks5d0VnMFlGemd0NmxFdmJPdnVTRGRpM3lsbXAzLVRPb0pHVFVkQkcxbmhQM2xQNC0yc1MwQ1FTTXdyWnp4blJudFFYRTM?oc=5</x:v>
      </x:c>
      <x:c r="Q25" s="58" t="str">
        <x:v>—</x:v>
      </x:c>
      <x:c r="R25" s="47" t="str">
        <x:v>02.09.2026</x:v>
      </x:c>
    </x:row>
    <x:row r="26" ht="58.5" customHeight="1">
      <x:c r="A26" s="53" t="str">
        <x:v>Бескудниково тер. 1, 2</x:v>
      </x:c>
      <x:c r="B26" s="54" t="str">
        <x:v>СВАО</x:v>
      </x:c>
      <x:c r="C26" s="54" t="str">
        <x:v>Алтуфьевский</x:v>
      </x:c>
      <x:c r="D26" s="54" t="str">
        <x:v>Планируемый</x:v>
      </x:c>
      <x:c r="E26" s="55" t="n">
        <x:v>76.92</x:v>
      </x:c>
      <x:c r="F26" s="56" t="n">
        <x:v>1235550</x:v>
      </x:c>
      <x:c r="G26" s="47" t="str">
        <x:v>Потенциально через торги; итог не установлен</x:v>
      </x:c>
      <x:c r="H26" s="47" t="str">
        <x:v>Не найдено опубликованного подтверждения</x:v>
      </x:c>
      <x:c r="I26" s="47" t="str">
        <x:v>Не установлен</x:v>
      </x:c>
      <x:c r="J26" s="47" t="str">
        <x:v>Город анонсировал выставление на торги 06.10.2025; публикация результата не найдена</x:v>
      </x:c>
      <x:c r="K26" s="47" t="str">
        <x:v>Не подтверждена</x:v>
      </x:c>
      <x:c r="L26" s="47" t="str">
        <x:v>Не установлена</x:v>
      </x:c>
      <x:c r="M26" s="47" t="str">
        <x:v>Столица выставит на торги право на комплексное развитие территории в бывшей промзоне Бескудниково - Официальный сайт Мэра Москвы — Официальный сайт Мэра Москвы, Mon, 06 Oct 2025</x:v>
      </x:c>
      <x:c r="N26" s="47" t="str">
        <x:v>Высокая</x:v>
      </x:c>
      <x:c r="O26" s="58" t="str">
        <x:v>https://krt.mos.ru/projects/beskudnikovo-ter-1-2</x:v>
      </x:c>
      <x:c r="P26" s="58" t="str">
        <x:v>https://news.google.com/rss/articles/CBMiUEFVX3lxTE1xRVl2cDZTdVctcXhFdy02NUF5M3FObXFlNlFJX1dIOWk3UDlSSVBVZHluMGZINEMxSVdhdWpscmR6bWhVS09hWGFrUzhtMk9H?oc=5</x:v>
      </x:c>
      <x:c r="Q26" s="58" t="str">
        <x:v>—</x:v>
      </x:c>
      <x:c r="R26" s="47" t="str">
        <x:v>02.09.2026</x:v>
      </x:c>
    </x:row>
    <x:row r="27" ht="58.5" customHeight="1">
      <x:c r="A27" s="53" t="str">
        <x:v>ТПУ Боровское шоссе</x:v>
      </x:c>
      <x:c r="B27" s="54" t="str">
        <x:v>ЗАО</x:v>
      </x:c>
      <x:c r="C27" s="54" t="str">
        <x:v>Ново-Переделкино</x:v>
      </x:c>
      <x:c r="D27" s="54" t="str">
        <x:v>Планируемый</x:v>
      </x:c>
      <x:c r="E27" s="55" t="n">
        <x:v>8.77</x:v>
      </x:c>
      <x:c r="F27" s="56" t="n">
        <x:v>138500</x:v>
      </x:c>
      <x:c r="G27" s="47" t="str">
        <x:v>Занято — инвестор найден по итогам торгов</x:v>
      </x:c>
      <x:c r="H27" s="47" t="str">
        <x:v>ГК ФСК / проектная компания ООО «ТПУ Боровское шоссе 2»</x:v>
      </x:c>
      <x:c r="I27" s="47" t="str">
        <x:v>ГК ФСК</x:v>
      </x:c>
      <x:c r="J27" s="47" t="str">
        <x:v>Торги завершены; победитель — ГК ФСК</x:v>
      </x:c>
      <x:c r="K27" s="47" t="str">
        <x:v>Не подтверждена</x:v>
      </x:c>
      <x:c r="L27" s="47" t="str">
        <x:v>Не установлена</x:v>
      </x:c>
      <x:c r="M27" s="47" t="str">
        <x:v>Вторичный отраслевой источник сообщает о победе ФСК; реестровый агрегатор фиксирует ФСК как учредителя проектной компании. Официальная карточка итогов в выдаче не найдена.</x:v>
      </x:c>
      <x:c r="N27" s="47" t="str">
        <x:v>Средняя</x:v>
      </x:c>
      <x:c r="O27" s="58" t="str">
        <x:v>https://krt.mos.ru/projects/tpu-borovskoe-shosse</x:v>
      </x:c>
      <x:c r="P27" s="58" t="str">
        <x:v>https://raenza.ru/u/wizard/194231/</x:v>
      </x:c>
      <x:c r="Q27" s="58" t="str">
        <x:v>https://b2b.house/company/OOO-TPU-BOROVSKOE-SHOSSE-2_a52a7695-ed6d-447c-8828-28e445d69554/</x:v>
      </x:c>
      <x:c r="R27" s="47" t="str">
        <x:v>02.09.2026</x:v>
      </x:c>
    </x:row>
    <x:row r="28" ht="58.5" customHeight="1">
      <x:c r="A28" s="53" t="str">
        <x:v>КРТ Прожектор (территория 1)</x:v>
      </x:c>
      <x:c r="B28" s="54" t="str">
        <x:v>ВАО</x:v>
      </x:c>
      <x:c r="C28" s="54" t="str">
        <x:v>Перово</x:v>
      </x:c>
      <x:c r="D28" s="54" t="str">
        <x:v>Планируемый</x:v>
      </x:c>
      <x:c r="E28" s="55" t="n">
        <x:v>11.74</x:v>
      </x:c>
      <x:c r="F28" s="56" t="n">
        <x:v>321005</x:v>
      </x:c>
      <x:c r="G28" s="47" t="str">
        <x:v>Доступность зависит от результата торгов</x:v>
      </x:c>
      <x:c r="H28" s="47" t="str">
        <x:v>Не найдено опубликованного подтверждения</x:v>
      </x:c>
      <x:c r="I28" s="47" t="str">
        <x:v>Не установлен</x:v>
      </x:c>
      <x:c r="J28" s="47" t="str">
        <x:v>Торги открыты 25.05.2026; результат не найден</x:v>
      </x:c>
      <x:c r="K28" s="47" t="str">
        <x:v>Не подтверждена</x:v>
      </x:c>
      <x:c r="L28" s="47" t="str">
        <x:v>Не подтверждён; прежняя пометка «МФР» не подтверждена адресным договором</x:v>
      </x:c>
      <x:c r="M28" s="47" t="str">
        <x:v>Торги открыты 25.05.2026; результат не найден</x:v>
      </x:c>
      <x:c r="N28" s="47" t="str">
        <x:v>Высокая</x:v>
      </x:c>
      <x:c r="O28" s="58" t="str">
        <x:v>https://krt.mos.ru/projects/prozhektor-ter-1</x:v>
      </x:c>
      <x:c r="P28" s="58" t="str">
        <x:v>https://news.google.com/rss/articles/CBMiUEFVX3lxTE1mM2VYOG94YXpHcFZOODlOd1VhT2djbkRFdjNvR0tOUDNSM2xTNmdORjZnUU5yenEwb0VkV3hpRzVsVlkzdmlHUVVHOXBMbFdN?oc=5</x:v>
      </x:c>
      <x:c r="Q28" s="58" t="str">
        <x:v>—</x:v>
      </x:c>
      <x:c r="R28" s="47" t="str">
        <x:v>02.09.2026</x:v>
      </x:c>
    </x:row>
    <x:row r="29" ht="58.5" customHeight="1">
      <x:c r="A29" s="53" t="str">
        <x:v>Псковская ул, вл. 17</x:v>
      </x:c>
      <x:c r="B29" s="54" t="str">
        <x:v>СВАО</x:v>
      </x:c>
      <x:c r="C29" s="54" t="str">
        <x:v>Лианозово</x:v>
      </x:c>
      <x:c r="D29" s="54" t="str">
        <x:v>Планируемый</x:v>
      </x:c>
      <x:c r="E29" s="55" t="n">
        <x:v>31.31</x:v>
      </x:c>
      <x:c r="F29" s="56" t="n">
        <x:v>659260</x:v>
      </x:c>
      <x:c r="G29" s="47" t="str">
        <x:v>Не установлено</x:v>
      </x:c>
      <x:c r="H29" s="47" t="str">
        <x:v>Не найдено опубликованного подтверждения</x:v>
      </x:c>
      <x:c r="I29" s="47" t="str">
        <x:v>Не установлен</x:v>
      </x:c>
      <x:c r="J29" s="47" t="str">
        <x:v>Торги на право договора КРТ не найдены в открытой выдаче</x:v>
      </x:c>
      <x:c r="K29" s="47" t="str">
        <x:v>Не подтверждена</x:v>
      </x:c>
      <x:c r="L29" s="47" t="str">
        <x:v>Не установлена</x:v>
      </x:c>
      <x:c r="M29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29" s="47" t="str">
        <x:v>Ограниченная</x:v>
      </x:c>
      <x:c r="O29" s="58" t="str">
        <x:v>https://krt.mos.ru/projects/pskovskaya-ul-vl-17</x:v>
      </x:c>
      <x:c r="P29" s="58" t="str">
        <x:v>—</x:v>
      </x:c>
      <x:c r="Q29" s="58" t="str">
        <x:v>—</x:v>
      </x:c>
      <x:c r="R29" s="47" t="str">
        <x:v>02.09.2026</x:v>
      </x:c>
    </x:row>
    <x:row r="30" ht="58.5" customHeight="1">
      <x:c r="A30" s="53" t="str">
        <x:v>ул. Лескова, влд. 34, ул. Белозерская, влд. 17В</x:v>
      </x:c>
      <x:c r="B30" s="54" t="str">
        <x:v>СВАО</x:v>
      </x:c>
      <x:c r="C30" s="54" t="str">
        <x:v>Бибирево</x:v>
      </x:c>
      <x:c r="D30" s="54" t="str">
        <x:v>Планируемый</x:v>
      </x:c>
      <x:c r="E30" s="55" t="n">
        <x:v>1.56</x:v>
      </x:c>
      <x:c r="F30" s="56" t="n">
        <x:v>46700</x:v>
      </x:c>
      <x:c r="G30" s="47" t="str">
        <x:v>Не установлено</x:v>
      </x:c>
      <x:c r="H30" s="47" t="str">
        <x:v>Не найдено опубликованного подтверждения</x:v>
      </x:c>
      <x:c r="I30" s="47" t="str">
        <x:v>Не установлен</x:v>
      </x:c>
      <x:c r="J30" s="47" t="str">
        <x:v>Торги на право договора КРТ не найдены в открытой выдаче</x:v>
      </x:c>
      <x:c r="K30" s="47" t="str">
        <x:v>Не подтверждена</x:v>
      </x:c>
      <x:c r="L30" s="47" t="str">
        <x:v>Не установлена</x:v>
      </x:c>
      <x:c r="M30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0" s="47" t="str">
        <x:v>Ограниченная</x:v>
      </x:c>
      <x:c r="O30" s="58" t="str">
        <x:v>https://krt.mos.ru/projects/leskova-ul-vl-34-ul-belozerskaya-ul-vl-17v</x:v>
      </x:c>
      <x:c r="P30" s="58" t="str">
        <x:v>—</x:v>
      </x:c>
      <x:c r="Q30" s="58" t="str">
        <x:v>—</x:v>
      </x:c>
      <x:c r="R30" s="47" t="str">
        <x:v>02.09.2026</x:v>
      </x:c>
    </x:row>
    <x:row r="31" ht="58.5" customHeight="1">
      <x:c r="A31" s="53" t="str">
        <x:v>КРТ «Прожектор» (территория 2)</x:v>
      </x:c>
      <x:c r="B31" s="54" t="str">
        <x:v>ВАО</x:v>
      </x:c>
      <x:c r="C31" s="54" t="str">
        <x:v>Перово</x:v>
      </x:c>
      <x:c r="D31" s="54" t="str">
        <x:v>Планируемый</x:v>
      </x:c>
      <x:c r="E31" s="55" t="n">
        <x:v>16.9</x:v>
      </x:c>
      <x:c r="F31" s="56" t="n">
        <x:v>363759</x:v>
      </x:c>
      <x:c r="G31" s="47" t="str">
        <x:v>Доступность зависит от результата торгов</x:v>
      </x:c>
      <x:c r="H31" s="47" t="str">
        <x:v>Не найдено опубликованного подтверждения</x:v>
      </x:c>
      <x:c r="I31" s="47" t="str">
        <x:v>Не установлен</x:v>
      </x:c>
      <x:c r="J31" s="47" t="str">
        <x:v>Торги открыты 25.05.2026; результат не найден</x:v>
      </x:c>
      <x:c r="K31" s="47" t="str">
        <x:v>Не подтверждена</x:v>
      </x:c>
      <x:c r="L31" s="47" t="str">
        <x:v>Не подтверждён; прежняя пометка «МФР» не подтверждена адресным договором</x:v>
      </x:c>
      <x:c r="M31" s="47" t="str">
        <x:v>Открыты торги на право комплексного развития территорий в бывшей промзоне «Прожектор» - Официальный сайт Мэра Москвы — Официальный сайт Мэра Москвы, Mon, 25 May 2026</x:v>
      </x:c>
      <x:c r="N31" s="47" t="str">
        <x:v>Высокая</x:v>
      </x:c>
      <x:c r="O31" s="58" t="str">
        <x:v>https://krt.mos.ru/projects/prozhektor-ter-2</x:v>
      </x:c>
      <x:c r="P31" s="58" t="str">
        <x:v>https://news.google.com/rss/articles/CBMiUEFVX3lxTE1mM2VYOG94YXpHcFZOODlOd1VhT2djbkRFdjNvR0tOUDNSM2xTNmdORjZnUU5yenEwb0VkV3hpRzVsVlkzdmlHUVVHOXBMbFdN?oc=5</x:v>
      </x:c>
      <x:c r="Q31" s="58" t="str">
        <x:v>—</x:v>
      </x:c>
      <x:c r="R31" s="47" t="str">
        <x:v>02.09.2026</x:v>
      </x:c>
    </x:row>
    <x:row r="32" ht="58.5" customHeight="1">
      <x:c r="A32" s="53" t="str">
        <x:v>Талалихина ул., вл. 41</x:v>
      </x:c>
      <x:c r="B32" s="54" t="str">
        <x:v>ЮВАО</x:v>
      </x:c>
      <x:c r="C32" s="54" t="str">
        <x:v>Нижегородский</x:v>
      </x:c>
      <x:c r="D32" s="54" t="str">
        <x:v>Планируемый</x:v>
      </x:c>
      <x:c r="E32" s="55" t="n">
        <x:v>22.31</x:v>
      </x:c>
      <x:c r="F32" s="56" t="n">
        <x:v>540000</x:v>
      </x:c>
      <x:c r="G32" s="47" t="str">
        <x:v>Не установлено</x:v>
      </x:c>
      <x:c r="H32" s="47" t="str">
        <x:v>Не найдено опубликованного подтверждения</x:v>
      </x:c>
      <x:c r="I32" s="47" t="str">
        <x:v>Не установлен</x:v>
      </x:c>
      <x:c r="J32" s="47" t="str">
        <x:v>Торги на право договора КРТ не найдены в открытой выдаче</x:v>
      </x:c>
      <x:c r="K32" s="47" t="str">
        <x:v>Не подтверждена</x:v>
      </x:c>
      <x:c r="L32" s="47" t="str">
        <x:v>Не установлена</x:v>
      </x:c>
      <x:c r="M32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2" s="47" t="str">
        <x:v>Ограниченная</x:v>
      </x:c>
      <x:c r="O32" s="58" t="str">
        <x:v>https://krt.mos.ru/projects/talalikhina-ul-vl-41</x:v>
      </x:c>
      <x:c r="P32" s="58" t="str">
        <x:v>—</x:v>
      </x:c>
      <x:c r="Q32" s="58" t="str">
        <x:v>—</x:v>
      </x:c>
      <x:c r="R32" s="47" t="str">
        <x:v>02.09.2026</x:v>
      </x:c>
    </x:row>
    <x:row r="33" ht="58.5" customHeight="1">
      <x:c r="A33" s="53" t="str">
        <x:v>Яблочкова ул., вл. 21</x:v>
      </x:c>
      <x:c r="B33" s="54" t="str">
        <x:v>СВАО</x:v>
      </x:c>
      <x:c r="C33" s="54" t="str">
        <x:v>Бутырский</x:v>
      </x:c>
      <x:c r="D33" s="54" t="str">
        <x:v>Планируемый</x:v>
      </x:c>
      <x:c r="E33" s="55" t="n">
        <x:v>2.61</x:v>
      </x:c>
      <x:c r="F33" s="56" t="n">
        <x:v>54150</x:v>
      </x:c>
      <x:c r="G33" s="47" t="str">
        <x:v>Не установлено</x:v>
      </x:c>
      <x:c r="H33" s="47" t="str">
        <x:v>Не найдено опубликованного подтверждения</x:v>
      </x:c>
      <x:c r="I33" s="47" t="str">
        <x:v>Не установлен</x:v>
      </x:c>
      <x:c r="J33" s="47" t="str">
        <x:v>Торги на право договора КРТ не найдены в открытой выдаче</x:v>
      </x:c>
      <x:c r="K33" s="47" t="str">
        <x:v>Не подтверждена</x:v>
      </x:c>
      <x:c r="L33" s="47" t="str">
        <x:v>Не установлена</x:v>
      </x:c>
      <x:c r="M33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3" s="47" t="str">
        <x:v>Ограниченная</x:v>
      </x:c>
      <x:c r="O33" s="58" t="str">
        <x:v>https://krt.mos.ru/projects/yablochkova-ul-vl-21</x:v>
      </x:c>
      <x:c r="P33" s="58" t="str">
        <x:v>—</x:v>
      </x:c>
      <x:c r="Q33" s="58" t="str">
        <x:v>—</x:v>
      </x:c>
      <x:c r="R33" s="47" t="str">
        <x:v>02.09.2026</x:v>
      </x:c>
    </x:row>
    <x:row r="34" ht="58.5" customHeight="1">
      <x:c r="A34" s="53" t="str">
        <x:v>Огородный проезд (проект 2)</x:v>
      </x:c>
      <x:c r="B34" s="54" t="str">
        <x:v>СВАО</x:v>
      </x:c>
      <x:c r="C34" s="54" t="str">
        <x:v>Бутырский</x:v>
      </x:c>
      <x:c r="D34" s="54" t="str">
        <x:v>Планируемый</x:v>
      </x:c>
      <x:c r="E34" s="55" t="n">
        <x:v>6.77</x:v>
      </x:c>
      <x:c r="F34" s="56" t="n">
        <x:v>121400</x:v>
      </x:c>
      <x:c r="G34" s="47" t="str">
        <x:v>Не установлено</x:v>
      </x:c>
      <x:c r="H34" s="47" t="str">
        <x:v>Не найдено опубликованного подтверждения</x:v>
      </x:c>
      <x:c r="I34" s="47" t="str">
        <x:v>Не установлен</x:v>
      </x:c>
      <x:c r="J34" s="47" t="str">
        <x:v>Торги на право договора КРТ не найдены в открытой выдаче</x:v>
      </x:c>
      <x:c r="K34" s="47" t="str">
        <x:v>Не подтверждена</x:v>
      </x:c>
      <x:c r="L34" s="47" t="str">
        <x:v>Не установлена</x:v>
      </x:c>
      <x:c r="M34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4" s="47" t="str">
        <x:v>Ограниченная</x:v>
      </x:c>
      <x:c r="O34" s="58" t="str">
        <x:v>https://krt.mos.ru/projects/ogorodnyy-proezd-proekt-2</x:v>
      </x:c>
      <x:c r="P34" s="58" t="str">
        <x:v>—</x:v>
      </x:c>
      <x:c r="Q34" s="58" t="str">
        <x:v>—</x:v>
      </x:c>
      <x:c r="R34" s="47" t="str">
        <x:v>02.09.2026</x:v>
      </x:c>
    </x:row>
    <x:row r="35" ht="58.5" customHeight="1">
      <x:c r="A35" s="53" t="str">
        <x:v>Озерная ул., вл. 42-46</x:v>
      </x:c>
      <x:c r="B35" s="54" t="str">
        <x:v>ЗАО</x:v>
      </x:c>
      <x:c r="C35" s="54" t="str">
        <x:v>Очаково-Матвеевское</x:v>
      </x:c>
      <x:c r="D35" s="54" t="str">
        <x:v>Планируемый</x:v>
      </x:c>
      <x:c r="E35" s="55" t="n">
        <x:v>4.26</x:v>
      </x:c>
      <x:c r="F35" s="56" t="n">
        <x:v>106490</x:v>
      </x:c>
      <x:c r="G35" s="47" t="str">
        <x:v>Не установлено</x:v>
      </x:c>
      <x:c r="H35" s="47" t="str">
        <x:v>Не найдено опубликованного подтверждения</x:v>
      </x:c>
      <x:c r="I35" s="47" t="str">
        <x:v>Не установлен; прежняя автоподстановка АО СЗ «Озерная» не подтверждена адресным договором/решением</x:v>
      </x:c>
      <x:c r="J35" s="47" t="str">
        <x:v>Торги на право договора КРТ не найдены в открытой выдаче</x:v>
      </x:c>
      <x:c r="K35" s="47" t="str">
        <x:v>Не подтверждена</x:v>
      </x:c>
      <x:c r="L35" s="47" t="str">
        <x:v>Не установлена</x:v>
      </x:c>
      <x:c r="M35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35" s="47" t="str">
        <x:v>Ограниченная</x:v>
      </x:c>
      <x:c r="O35" s="58" t="str">
        <x:v>https://krt.mos.ru/projects/ozernaya-ul-vld-42-46</x:v>
      </x:c>
      <x:c r="P35" s="58" t="str">
        <x:v>—</x:v>
      </x:c>
      <x:c r="Q35" s="58" t="str">
        <x:v>—</x:v>
      </x:c>
      <x:c r="R35" s="47" t="str">
        <x:v>02.09.2026</x:v>
      </x:c>
    </x:row>
    <x:row r="36" ht="58.5" customHeight="1">
      <x:c r="A36" s="53" t="str">
        <x:v>Толстопальцево, Советская ул. д. 1, ул. Мира, вл. 25</x:v>
      </x:c>
      <x:c r="B36" s="54" t="str">
        <x:v>НАО</x:v>
      </x:c>
      <x:c r="C36" s="54" t="str">
        <x:v>Внуково</x:v>
      </x:c>
      <x:c r="D36" s="54" t="str">
        <x:v>Планируемый</x:v>
      </x:c>
      <x:c r="E36" s="55" t="n">
        <x:v>40.07</x:v>
      </x:c>
      <x:c r="F36" s="56" t="n">
        <x:v>174560</x:v>
      </x:c>
      <x:c r="G36" s="47" t="str">
        <x:v>Не установлено</x:v>
      </x:c>
      <x:c r="H36" s="47" t="str">
        <x:v>Не найдено опубликованного подтверждения</x:v>
      </x:c>
      <x:c r="I36" s="47" t="str">
        <x:v>Не установлен</x:v>
      </x:c>
      <x:c r="J36" s="47" t="str">
        <x:v>Торги на право договора КРТ не найдены в открытой выдаче</x:v>
      </x:c>
      <x:c r="K36" s="47" t="str">
        <x:v>Не подтверждена</x:v>
      </x:c>
      <x:c r="L36" s="47" t="str">
        <x:v>Не установлена</x:v>
      </x:c>
      <x:c r="M36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6" s="47" t="str">
        <x:v>Ограниченная</x:v>
      </x:c>
      <x:c r="O36" s="58" t="str">
        <x:v>https://krt.mos.ru/projects/tolstopaltsevo-sovetskaya-ul-d-1-ul-mira-vl-25</x:v>
      </x:c>
      <x:c r="P36" s="58" t="str">
        <x:v>—</x:v>
      </x:c>
      <x:c r="Q36" s="58" t="str">
        <x:v>—</x:v>
      </x:c>
      <x:c r="R36" s="47" t="str">
        <x:v>02.09.2026</x:v>
      </x:c>
    </x:row>
    <x:row r="37" ht="58.5" customHeight="1">
      <x:c r="A37" s="53" t="str">
        <x:v>Светлый проезд, вл. 4</x:v>
      </x:c>
      <x:c r="B37" s="54" t="str">
        <x:v>САО</x:v>
      </x:c>
      <x:c r="C37" s="54" t="str">
        <x:v>Сокол</x:v>
      </x:c>
      <x:c r="D37" s="54" t="str">
        <x:v>Планируемый</x:v>
      </x:c>
      <x:c r="E37" s="55" t="n">
        <x:v>5.64</x:v>
      </x:c>
      <x:c r="F37" s="56" t="n">
        <x:v>113090</x:v>
      </x:c>
      <x:c r="G37" s="47" t="str">
        <x:v>Не установлено</x:v>
      </x:c>
      <x:c r="H37" s="47" t="str">
        <x:v>Не найдено опубликованного подтверждения</x:v>
      </x:c>
      <x:c r="I37" s="47" t="str">
        <x:v>STONE упоминался во вторичной выдаче; связь с договором КРТ не доказана</x:v>
      </x:c>
      <x:c r="J37" s="47" t="str">
        <x:v>Торги на право договора КРТ не найдены в открытой выдаче</x:v>
      </x:c>
      <x:c r="K37" s="47" t="str">
        <x:v>Не подтверждена первичным адресным документом</x:v>
      </x:c>
      <x:c r="L37" s="47" t="str">
        <x:v>Не установлена</x:v>
      </x:c>
      <x:c r="M37" s="47" t="str">
        <x:v>Прежняя выгрузка переносила вторичное упоминание «под реновацию» и бренд STONE без адресного договора/решения.</x:v>
      </x:c>
      <x:c r="N37" s="47" t="str">
        <x:v>Ограниченная</x:v>
      </x:c>
      <x:c r="O37" s="58" t="str">
        <x:v>https://krt.mos.ru/projects/svetlyy-proezd-vl-4</x:v>
      </x:c>
      <x:c r="P37" s="58" t="str">
        <x:v>—</x:v>
      </x:c>
      <x:c r="Q37" s="58" t="str">
        <x:v>—</x:v>
      </x:c>
      <x:c r="R37" s="47" t="str">
        <x:v>02.09.2026</x:v>
      </x:c>
    </x:row>
    <x:row r="38" ht="58.5" customHeight="1">
      <x:c r="A38" s="53" t="str">
        <x:v>ул. Малахитовая ул., влд. 16/6, ул Докукина, влд. 16, к. 4</x:v>
      </x:c>
      <x:c r="B38" s="54" t="str">
        <x:v>СВАО</x:v>
      </x:c>
      <x:c r="C38" s="54" t="str">
        <x:v>Ростокино</x:v>
      </x:c>
      <x:c r="D38" s="54" t="str">
        <x:v>Планируемый</x:v>
      </x:c>
      <x:c r="E38" s="55" t="n">
        <x:v>12.06</x:v>
      </x:c>
      <x:c r="F38" s="56" t="n">
        <x:v>197550</x:v>
      </x:c>
      <x:c r="G38" s="47" t="str">
        <x:v>Не установлено</x:v>
      </x:c>
      <x:c r="H38" s="47" t="str">
        <x:v>Не найдено опубликованного подтверждения</x:v>
      </x:c>
      <x:c r="I38" s="47" t="str">
        <x:v>Не установлен</x:v>
      </x:c>
      <x:c r="J38" s="47" t="str">
        <x:v>Торги на право договора КРТ не найдены в открытой выдаче</x:v>
      </x:c>
      <x:c r="K38" s="47" t="str">
        <x:v>Вероятно, но требует адресного первичного документа</x:v>
      </x:c>
      <x:c r="L38" s="47" t="str">
        <x:v>Не установлена</x:v>
      </x:c>
      <x:c r="M38" s="47" t="str">
        <x:v>В исходной выгрузке есть адресное упоминание строительства на месте КРТ, но первичный документ и роль Фонда не найдены.</x:v>
      </x:c>
      <x:c r="N38" s="47" t="str">
        <x:v>Средняя</x:v>
      </x:c>
      <x:c r="O38" s="58" t="str">
        <x:v>https://krt.mos.ru/projects/ul-malakhitovaya-ul-vld-16-6-ul-dokukina-vld-16-k-4</x:v>
      </x:c>
      <x:c r="P38" s="58" t="str">
        <x:v>—</x:v>
      </x:c>
      <x:c r="Q38" s="58" t="str">
        <x:v>—</x:v>
      </x:c>
      <x:c r="R38" s="47" t="str">
        <x:v>02.09.2026</x:v>
      </x:c>
    </x:row>
    <x:row r="39" ht="58.5" customHeight="1">
      <x:c r="A39" s="53" t="str">
        <x:v>ул. Юности, вл. 9-15, ул. Аллея первой Маевки, вл. 7-11, 1-й Вешняковский пр-д, вл. 1-7</x:v>
      </x:c>
      <x:c r="B39" s="54" t="str">
        <x:v>ВАО</x:v>
      </x:c>
      <x:c r="C39" s="54" t="str">
        <x:v>Вешняки</x:v>
      </x:c>
      <x:c r="D39" s="54" t="str">
        <x:v>Планируемый</x:v>
      </x:c>
      <x:c r="E39" s="55" t="n">
        <x:v>11.36</x:v>
      </x:c>
      <x:c r="F39" s="56" t="n">
        <x:v>237640</x:v>
      </x:c>
      <x:c r="G39" s="47" t="str">
        <x:v>Не установлено</x:v>
      </x:c>
      <x:c r="H39" s="47" t="str">
        <x:v>Не найдено опубликованного подтверждения</x:v>
      </x:c>
      <x:c r="I39" s="47" t="str">
        <x:v>Не установлен</x:v>
      </x:c>
      <x:c r="J39" s="47" t="str">
        <x:v>Торги на право договора КРТ не найдены в открытой выдаче</x:v>
      </x:c>
      <x:c r="K39" s="47" t="str">
        <x:v>Не подтверждена</x:v>
      </x:c>
      <x:c r="L39" s="47" t="str">
        <x:v>Не установлена</x:v>
      </x:c>
      <x:c r="M39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39" s="47" t="str">
        <x:v>Ограниченная</x:v>
      </x:c>
      <x:c r="O39" s="58" t="str">
        <x:v>https://krt.mos.ru/projects/yunosti-ul-vl-9-15-alleya-pervoy-maevki-ul-vl-7-11-1-y-veshn</x:v>
      </x:c>
      <x:c r="P39" s="58" t="str">
        <x:v>—</x:v>
      </x:c>
      <x:c r="Q39" s="58" t="str">
        <x:v>—</x:v>
      </x:c>
      <x:c r="R39" s="47" t="str">
        <x:v>02.09.2026</x:v>
      </x:c>
    </x:row>
    <x:row r="40" ht="58.5" customHeight="1">
      <x:c r="A40" s="53" t="str">
        <x:v>Верхняя Первомайская ул., влд. 36, ул. 9-я Парковая, влд. 33</x:v>
      </x:c>
      <x:c r="B40" s="54" t="str">
        <x:v>ВАО</x:v>
      </x:c>
      <x:c r="C40" s="54" t="str">
        <x:v>Измайлово</x:v>
      </x:c>
      <x:c r="D40" s="54" t="str">
        <x:v>Планируемый</x:v>
      </x:c>
      <x:c r="E40" s="55" t="n">
        <x:v>1.44</x:v>
      </x:c>
      <x:c r="F40" s="56" t="n">
        <x:v>50400</x:v>
      </x:c>
      <x:c r="G40" s="47" t="str">
        <x:v>Не установлено</x:v>
      </x:c>
      <x:c r="H40" s="47" t="str">
        <x:v>Не найдено опубликованного подтверждения</x:v>
      </x:c>
      <x:c r="I40" s="47" t="str">
        <x:v>Не установлен</x:v>
      </x:c>
      <x:c r="J40" s="47" t="str">
        <x:v>Решение допускает торги только при незаключении договора с правообладателями; фактические торги не найдены</x:v>
      </x:c>
      <x:c r="K40" s="47" t="str">
        <x:v>Да — проект содействует программе реновации</x:v>
      </x:c>
      <x:c r="L40" s="47" t="str">
        <x:v>Участие Фонда как оператора/застройщика не установлено</x:v>
      </x:c>
      <x:c r="M40" s="47" t="str">
        <x:v>Постановление утверждает КРТ; адресная публикация прямо называет цель реновации. Норма о возможных торгах не является фактом проведения торгов.</x:v>
      </x:c>
      <x:c r="N40" s="47" t="str">
        <x:v>Высокая по реновации; ограниченная по способу реализации</x:v>
      </x:c>
      <x:c r="O40" s="58" t="str">
        <x:v>https://krt.mos.ru/projects/verkhnyaya-pervomayskaya-ul-vld-36-ul-9-ya-parkovaya-vld-33</x:v>
      </x:c>
      <x:c r="P40" s="58" t="str">
        <x:v>https://base.garant.ru/414321237/</x:v>
      </x:c>
      <x:c r="Q40" s="58" t="str">
        <x:v>https://www.mskagency.ru/materials/3533407</x:v>
      </x:c>
      <x:c r="R40" s="47" t="str">
        <x:v>02.09.2026</x:v>
      </x:c>
    </x:row>
    <x:row r="41" ht="58.5" customHeight="1">
      <x:c r="A41" s="53" t="str">
        <x:v>5-й Верхний Михайловский пр-д, 4-й Рощинский пр-д</x:v>
      </x:c>
      <x:c r="B41" s="54" t="str">
        <x:v>ЮАО</x:v>
      </x:c>
      <x:c r="C41" s="54" t="str">
        <x:v>Донской</x:v>
      </x:c>
      <x:c r="D41" s="54" t="str">
        <x:v>Планируемый</x:v>
      </x:c>
      <x:c r="E41" s="55" t="n">
        <x:v>13.97</x:v>
      </x:c>
      <x:c r="F41" s="56" t="n">
        <x:v>113920</x:v>
      </x:c>
      <x:c r="G41" s="47" t="str">
        <x:v>Не установлено</x:v>
      </x:c>
      <x:c r="H41" s="47" t="str">
        <x:v>Не найдено опубликованного подтверждения</x:v>
      </x:c>
      <x:c r="I41" s="47" t="str">
        <x:v>Не установлен</x:v>
      </x:c>
      <x:c r="J41" s="47" t="str">
        <x:v>Торги на право договора КРТ не найдены в открытой выдаче</x:v>
      </x:c>
      <x:c r="K41" s="47" t="str">
        <x:v>Да — жильё для программы реновации</x:v>
      </x:c>
      <x:c r="L41" s="47" t="str">
        <x:v>Статус Фонда как оператора именно этого КРТ в найденных адресных документах не установлен</x:v>
      </x:c>
      <x:c r="M41" s="47" t="str">
        <x:v>Проект решения прямо предусматривает 9 600 м² для программы реновации; публикация КРТ сообщает о жилье для реновации.</x:v>
      </x:c>
      <x:c r="N41" s="47" t="str">
        <x:v>Высокая</x:v>
      </x:c>
      <x:c r="O41" s="58" t="str">
        <x:v>https://krt.mos.ru/projects/5-j-verhnij-mihajlovskij-pr-d-4-j-rosinskij-pr-d</x:v>
      </x:c>
      <x:c r="P41" s="58" t="str">
        <x:v>https://www.mos.ru/upload/documents/files/2455/Proektresheniyapyblikakciya.pdf</x:v>
      </x:c>
      <x:c r="Q41" s="58" t="str">
        <x:v>https://krt.mos.ru/news/zhile_shkola_i_vetklinika_chto_postroyat_po_programme_krt_v_donskom_i_danilovskom_rayonakh/</x:v>
      </x:c>
      <x:c r="R41" s="47" t="str">
        <x:v>02.09.2026</x:v>
      </x:c>
    </x:row>
    <x:row r="42" ht="58.5" customHeight="1">
      <x:c r="A42" s="53" t="str">
        <x:v>Сельскохозяйственная ул., вл. 42, стр. 1</x:v>
      </x:c>
      <x:c r="B42" s="54" t="str">
        <x:v>СВАО</x:v>
      </x:c>
      <x:c r="C42" s="54" t="str">
        <x:v>Свиблово</x:v>
      </x:c>
      <x:c r="D42" s="54" t="str">
        <x:v>Планируемый</x:v>
      </x:c>
      <x:c r="E42" s="55" t="n">
        <x:v>11.79</x:v>
      </x:c>
      <x:c r="F42" s="56" t="n">
        <x:v>161970</x:v>
      </x:c>
      <x:c r="G42" s="47" t="str">
        <x:v>Не установлено</x:v>
      </x:c>
      <x:c r="H42" s="47" t="str">
        <x:v>Не найдено опубликованного подтверждения</x:v>
      </x:c>
      <x:c r="I42" s="47" t="str">
        <x:v>Не установлен; прежняя автоподстановка ОМ Девелопмент не подтверждена адресным договором/решением</x:v>
      </x:c>
      <x:c r="J42" s="47" t="str">
        <x:v>Торги на право договора КРТ не найдены в открытой выдаче</x:v>
      </x:c>
      <x:c r="K42" s="47" t="str">
        <x:v>Не подтверждена</x:v>
      </x:c>
      <x:c r="L42" s="47" t="str">
        <x:v>Не установлена</x:v>
      </x:c>
      <x:c r="M42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42" s="47" t="str">
        <x:v>Ограниченная</x:v>
      </x:c>
      <x:c r="O42" s="58" t="str">
        <x:v>https://krt.mos.ru/projects/selskokhozyaystvennaya-ul-vl-42-str-1</x:v>
      </x:c>
      <x:c r="P42" s="58" t="str">
        <x:v>—</x:v>
      </x:c>
      <x:c r="Q42" s="58" t="str">
        <x:v>—</x:v>
      </x:c>
      <x:c r="R42" s="47" t="str">
        <x:v>02.09.2026</x:v>
      </x:c>
    </x:row>
    <x:row r="43" ht="58.5" customHeight="1">
      <x:c r="A43" s="53" t="str">
        <x:v>Маршала Прошлякова ул., вл. 9</x:v>
      </x:c>
      <x:c r="B43" s="54" t="str">
        <x:v>СЗАО</x:v>
      </x:c>
      <x:c r="C43" s="54" t="str">
        <x:v>Строгино</x:v>
      </x:c>
      <x:c r="D43" s="54" t="str">
        <x:v>Планируемый</x:v>
      </x:c>
      <x:c r="E43" s="55" t="n">
        <x:v>69.73</x:v>
      </x:c>
      <x:c r="F43" s="56" t="n">
        <x:v>951073</x:v>
      </x:c>
      <x:c r="G43" s="47" t="str">
        <x:v>Занято / проект официально отнесён к стадии реализации</x:v>
      </x:c>
      <x:c r="H43" s="47" t="str">
        <x:v>Не назван в найденной официальной публикации</x:v>
      </x:c>
      <x:c r="I43" s="47" t="str">
        <x:v>ПИК — девелопер ЖК «Строгино 360» по этому и соседнему адресу; юридический оператор КРТ не установлен</x:v>
      </x:c>
      <x:c r="J43" s="47" t="str">
        <x:v>Торги на право договора КРТ не найдены</x:v>
      </x:c>
      <x:c r="K43" s="47" t="str">
        <x:v>Не подтверждена</x:v>
      </x:c>
      <x:c r="L43" s="47" t="str">
        <x:v>Не установлена</x:v>
      </x:c>
      <x:c r="M43" s="47" t="str">
        <x:v>Официальный обзор относит проект на Маршала Прошлякова к реализации. Коммерческие источники связывают адрес с ЖК «Строгино 360» ПИК.</x:v>
      </x:c>
      <x:c r="N43" s="47" t="str">
        <x:v>Высокая по стадии; средняя по девелоперу</x:v>
      </x:c>
      <x:c r="O43" s="58" t="str">
        <x:v>https://krt.mos.ru/projects/marshala-zhukova-pr-t-vl-17-63</x:v>
      </x:c>
      <x:c r="P43" s="58" t="str">
        <x:v>https://krt.mos.ru/news/bolee-poloviny-vsekh-proektov-kompleksnogo-razvitiya-territoriy-v-moskve-pereshli-v-stadiyu-realizats/</x:v>
      </x:c>
      <x:c r="Q43" s="58" t="str">
        <x:v>https://novostroev.ru/novostroyki/moskva/szao/strogino/strogino-360/</x:v>
      </x:c>
      <x:c r="R43" s="47" t="str">
        <x:v>02.09.2026</x:v>
      </x:c>
    </x:row>
    <x:row r="44" ht="58.5" customHeight="1">
      <x:c r="A44" s="53" t="str">
        <x:v>Адмирала Макарова ул., влд. 8</x:v>
      </x:c>
      <x:c r="B44" s="54" t="str">
        <x:v>САО</x:v>
      </x:c>
      <x:c r="C44" s="54" t="str">
        <x:v>Войковский</x:v>
      </x:c>
      <x:c r="D44" s="54" t="str">
        <x:v>Планируемый</x:v>
      </x:c>
      <x:c r="E44" s="55" t="n">
        <x:v>1.26</x:v>
      </x:c>
      <x:c r="F44" s="56" t="n">
        <x:v>35000</x:v>
      </x:c>
      <x:c r="G44" s="47" t="str">
        <x:v>Не установлено</x:v>
      </x:c>
      <x:c r="H44" s="47" t="str">
        <x:v>Не найдено опубликованного подтверждения</x:v>
      </x:c>
      <x:c r="I44" s="47" t="str">
        <x:v>Московский фонд реновации жилой застройки — застройщик</x:v>
      </x:c>
      <x:c r="J44" s="47" t="str">
        <x:v>Торги на право договора КРТ не найдены в открытой выдаче</x:v>
      </x:c>
      <x:c r="K44" s="47" t="str">
        <x:v>Да — 35 000 м² жилья для программы реновации</x:v>
      </x:c>
      <x:c r="L44" s="47" t="str">
        <x:v>Застройщик; официальный материал не называет его оператором КРТ</x:v>
      </x:c>
      <x:c r="M44" s="47" t="str">
        <x:v>Официальная адресная публикация: жильё для реновации, застройщиком выступит Московский фонд реновации.</x:v>
      </x:c>
      <x:c r="N44" s="47" t="str">
        <x:v>Высокая</x:v>
      </x:c>
      <x:c r="O44" s="58" t="str">
        <x:v>https://krt.mos.ru/projects/admirala-makarova-ul-vl-8</x:v>
      </x:c>
      <x:c r="P44" s="58" t="str">
        <x:v>https://krt.mos.ru/news/gorod-odobril-proekt-kompleksnogo-razvitiya-territorii-na-ulitse-admirala-makarova-v-voykovskom-rayo/</x:v>
      </x:c>
      <x:c r="Q44" s="58" t="str">
        <x:v>—</x:v>
      </x:c>
      <x:c r="R44" s="47" t="str">
        <x:v>02.09.2026</x:v>
      </x:c>
    </x:row>
    <x:row r="45" ht="58.5" customHeight="1">
      <x:c r="A45" s="53" t="str">
        <x:v>Егорьевский проезд, вл. 2-7, Люблинская ул., вл. 82</x:v>
      </x:c>
      <x:c r="B45" s="54" t="str">
        <x:v>ЮВАО</x:v>
      </x:c>
      <x:c r="C45" s="54" t="str">
        <x:v>Люблино</x:v>
      </x:c>
      <x:c r="D45" s="54" t="str">
        <x:v>Планируемый</x:v>
      </x:c>
      <x:c r="E45" s="55" t="n">
        <x:v>28.37</x:v>
      </x:c>
      <x:c r="F45" s="56" t="n">
        <x:v>372150</x:v>
      </x:c>
      <x:c r="G45" s="47" t="str">
        <x:v>Доступность зависит от неустановленного результата торгов</x:v>
      </x:c>
      <x:c r="H45" s="47" t="str">
        <x:v>Не найдено опубликованного подтверждения</x:v>
      </x:c>
      <x:c r="I45" s="47" t="str">
        <x:v>Не установлен</x:v>
      </x:c>
      <x:c r="J45" s="47" t="str">
        <x:v>Приём заявок на торги открыт 19.12.2025; результат не найден</x:v>
      </x:c>
      <x:c r="K45" s="47" t="str">
        <x:v>Не подтверждена</x:v>
      </x:c>
      <x:c r="L45" s="47" t="str">
        <x:v>Не установлена</x:v>
      </x:c>
      <x:c r="M45" s="47" t="str">
        <x:v>Открыт прием заявок для участия в торгах на заключение договора о КРТ в бывшей промзоне Люблино - Официальный сайт Мэра Москвы — Официальный сайт Мэра Москвы, Fri, 19 Dec 2025</x:v>
      </x:c>
      <x:c r="N45" s="47" t="str">
        <x:v>Высокая</x:v>
      </x:c>
      <x:c r="O45" s="58" t="str">
        <x:v>https://krt.mos.ru/projects/egorevskiy-proezd-vl-2-7-lyublinskaya-ul-vl-82</x:v>
      </x:c>
      <x:c r="P45" s="58" t="str">
        <x:v>https://news.google.com/rss/articles/CBMiUEFVX3lxTE9oYUJObkRnOXE1VHNVYUdaMEpVNW5KMFhjTTR6OXl2OTdvZHdZdnhlNzdQaTdYVUk4enlYWWx4SmhPNGw1SjMyODBSemt0WXU0?oc=5</x:v>
      </x:c>
      <x:c r="Q45" s="58" t="str">
        <x:v>—</x:v>
      </x:c>
      <x:c r="R45" s="47" t="str">
        <x:v>02.09.2026</x:v>
      </x:c>
    </x:row>
    <x:row r="46" ht="58.5" customHeight="1">
      <x:c r="A46" s="53" t="str">
        <x:v>Куркинское ш., вл. 27-39, Куркинское ш., вл. 21, Героев Панфиловцев ул., вл. 20, корп. 1</x:v>
      </x:c>
      <x:c r="B46" s="54" t="str">
        <x:v>СЗАО</x:v>
      </x:c>
      <x:c r="C46" s="54" t="str">
        <x:v>Куркино</x:v>
      </x:c>
      <x:c r="D46" s="54" t="str">
        <x:v>Планируемый</x:v>
      </x:c>
      <x:c r="E46" s="55" t="n">
        <x:v>2.9</x:v>
      </x:c>
      <x:c r="F46" s="56" t="n">
        <x:v>39630</x:v>
      </x:c>
      <x:c r="G46" s="47" t="str">
        <x:v>Не установлено</x:v>
      </x:c>
      <x:c r="H46" s="47" t="str">
        <x:v>Не найдено опубликованного подтверждения</x:v>
      </x:c>
      <x:c r="I46" s="47" t="str">
        <x:v>Не установлен; прежняя автоподстановка ЖК «Куркино 15» не подтверждена адресным договором/решением</x:v>
      </x:c>
      <x:c r="J46" s="47" t="str">
        <x:v>Торги на право договора КРТ не найдены в открытой выдаче</x:v>
      </x:c>
      <x:c r="K46" s="47" t="str">
        <x:v>Не подтверждена</x:v>
      </x:c>
      <x:c r="L46" s="47" t="str">
        <x:v>Не установлена</x:v>
      </x:c>
      <x:c r="M46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46" s="47" t="str">
        <x:v>Ограниченная</x:v>
      </x:c>
      <x:c r="O46" s="58" t="str">
        <x:v>https://krt.mos.ru/projects/kurkinskoe-sh-vl-27-39-kurkinskoe-sh-vl-21-geroev-panfilovts</x:v>
      </x:c>
      <x:c r="P46" s="58" t="str">
        <x:v>—</x:v>
      </x:c>
      <x:c r="Q46" s="58" t="str">
        <x:v>—</x:v>
      </x:c>
      <x:c r="R46" s="47" t="str">
        <x:v>02.09.2026</x:v>
      </x:c>
    </x:row>
    <x:row r="47" ht="58.5" customHeight="1">
      <x:c r="A47" s="53" t="str">
        <x:v>Джамгаровская ул., влд. 3; Стартовая ул., влд. 14</x:v>
      </x:c>
      <x:c r="B47" s="54" t="str">
        <x:v>СВАО</x:v>
      </x:c>
      <x:c r="C47" s="54" t="str">
        <x:v>Лосиноостровский</x:v>
      </x:c>
      <x:c r="D47" s="54" t="str">
        <x:v>Планируемый</x:v>
      </x:c>
      <x:c r="E47" s="55" t="n">
        <x:v>11.25</x:v>
      </x:c>
      <x:c r="F47" s="56" t="n">
        <x:v>175130</x:v>
      </x:c>
      <x:c r="G47" s="47" t="str">
        <x:v>Не установлено</x:v>
      </x:c>
      <x:c r="H47" s="47" t="str">
        <x:v>Не найдено опубликованного подтверждения</x:v>
      </x:c>
      <x:c r="I47" s="47" t="str">
        <x:v>Не установлен</x:v>
      </x:c>
      <x:c r="J47" s="47" t="str">
        <x:v>Торги на право договора КРТ не найдены в открытой выдаче</x:v>
      </x:c>
      <x:c r="K47" s="47" t="str">
        <x:v>Да — жильё для программы реновации</x:v>
      </x:c>
      <x:c r="L47" s="47" t="str">
        <x:v>Участие Фонда как оператора/застройщика отдельно не подтверждено</x:v>
      </x:c>
      <x:c r="M47" s="47" t="str">
        <x:v>В Лосиноостровском районе по проекту КРТ построят жилье для реализации программы реновации - Официальный сайт Мэра Москвы — Официальный сайт Мэра Москвы, Wed, 13 Aug 2025</x:v>
      </x:c>
      <x:c r="N47" s="47" t="str">
        <x:v>Высокая</x:v>
      </x:c>
      <x:c r="O47" s="58" t="str">
        <x:v>https://krt.mos.ru/projects/dzhamgarovskaya-ul-vld-3-startovaya-ul-vld-14</x:v>
      </x:c>
      <x:c r="P47" s="58" t="str">
        <x:v>https://news.google.com/rss/articles/CBMiUEFVX3lxTE43SVpXOVRCRVhTR2dfdXptbWxublJUa2lBUGRuT1cyejV4Qkpjal9BdXlPQ0FBendhTlVWY3NnRVZsYlRTVWxZa2xwaFhVZ0o0?oc=5</x:v>
      </x:c>
      <x:c r="Q47" s="58" t="str">
        <x:v>—</x:v>
      </x:c>
      <x:c r="R47" s="47" t="str">
        <x:v>02.09.2026</x:v>
      </x:c>
    </x:row>
    <x:row r="48" ht="58.5" customHeight="1">
      <x:c r="A48" s="53" t="str">
        <x:v>Большая Бутовская ул., земельный участок 11/33</x:v>
      </x:c>
      <x:c r="B48" s="54" t="str">
        <x:v>ЮЗАО</x:v>
      </x:c>
      <x:c r="C48" s="54" t="str">
        <x:v>Южное Бутово</x:v>
      </x:c>
      <x:c r="D48" s="54" t="str">
        <x:v>Планируемый</x:v>
      </x:c>
      <x:c r="E48" s="55" t="n">
        <x:v>3.87</x:v>
      </x:c>
      <x:c r="F48" s="56" t="n">
        <x:v>16030</x:v>
      </x:c>
      <x:c r="G48" s="47" t="str">
        <x:v>Не установлено</x:v>
      </x:c>
      <x:c r="H48" s="47" t="str">
        <x:v>Не найдено опубликованного подтверждения</x:v>
      </x:c>
      <x:c r="I48" s="47" t="str">
        <x:v>Не установлен</x:v>
      </x:c>
      <x:c r="J48" s="47" t="str">
        <x:v>Торги на право договора КРТ не найдены в открытой выдаче</x:v>
      </x:c>
      <x:c r="K48" s="47" t="str">
        <x:v>Да — 9 700 м² жилья для программы реновации</x:v>
      </x:c>
      <x:c r="L48" s="47" t="str">
        <x:v>Участие Фонда как оператора/застройщика отдельно не подтверждено</x:v>
      </x:c>
      <x:c r="M48" s="47" t="str">
        <x:v>Адресный проект решения прямо предусматривает квартиры для программы реновации.</x:v>
      </x:c>
      <x:c r="N48" s="47" t="str">
        <x:v>Высокая</x:v>
      </x:c>
      <x:c r="O48" s="58" t="str">
        <x:v>https://krt.mos.ru/projects/bolshaya-butovskaya-ul-zemelnyy-uchastok-11-33</x:v>
      </x:c>
      <x:c r="P48" s="58" t="str">
        <x:v>https://www.mos.ru/upload/documents/files/3151/Proekt_resheniya_B_Bytovskaya_11_33_pyblikaciya.pdf</x:v>
      </x:c>
      <x:c r="Q48" s="58" t="str">
        <x:v>—</x:v>
      </x:c>
      <x:c r="R48" s="47" t="str">
        <x:v>02.09.2026</x:v>
      </x:c>
    </x:row>
    <x:row r="49" ht="58.5" customHeight="1">
      <x:c r="A49" s="53" t="str">
        <x:v>КРТ в производственной зоне «Ленино»</x:v>
      </x:c>
      <x:c r="B49" s="54" t="str">
        <x:v>ЮАО</x:v>
      </x:c>
      <x:c r="C49" s="54" t="str">
        <x:v>Бирюлёво Восточное</x:v>
      </x:c>
      <x:c r="D49" s="54" t="str">
        <x:v>Планируемый</x:v>
      </x:c>
      <x:c r="E49" s="55" t="n">
        <x:v>36.99</x:v>
      </x:c>
      <x:c r="F49" s="56" t="n">
        <x:v>548380</x:v>
      </x:c>
      <x:c r="G49" s="47" t="str">
        <x:v>Не установлено</x:v>
      </x:c>
      <x:c r="H49" s="47" t="str">
        <x:v>Не найдено опубликованного подтверждения</x:v>
      </x:c>
      <x:c r="I49" s="47" t="str">
        <x:v>Не установлен</x:v>
      </x:c>
      <x:c r="J49" s="47" t="str">
        <x:v>Торги на право договора КРТ не найдены в открытой выдаче</x:v>
      </x:c>
      <x:c r="K49" s="47" t="str">
        <x:v>Не подтверждена</x:v>
      </x:c>
      <x:c r="L49" s="47" t="str">
        <x:v>Не установлена</x:v>
      </x:c>
      <x:c r="M49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49" s="47" t="str">
        <x:v>Ограниченная</x:v>
      </x:c>
      <x:c r="O49" s="58" t="str">
        <x:v>https://krt.mos.ru/projects/krt-v-proizvodstvennoy-zone-lenino</x:v>
      </x:c>
      <x:c r="P49" s="58" t="str">
        <x:v>—</x:v>
      </x:c>
      <x:c r="Q49" s="58" t="str">
        <x:v>—</x:v>
      </x:c>
      <x:c r="R49" s="47" t="str">
        <x:v>02.09.2026</x:v>
      </x:c>
    </x:row>
    <x:row r="50" ht="58.5" customHeight="1">
      <x:c r="A50" s="53" t="str">
        <x:v>МКАД, 26 км, Липецкая ул., вл. 27</x:v>
      </x:c>
      <x:c r="B50" s="54" t="str">
        <x:v>ЮАО</x:v>
      </x:c>
      <x:c r="C50" s="54" t="str">
        <x:v>Бирюлёво Восточное</x:v>
      </x:c>
      <x:c r="D50" s="54" t="str">
        <x:v>Планируемый</x:v>
      </x:c>
      <x:c r="E50" s="55" t="n">
        <x:v>11.15</x:v>
      </x:c>
      <x:c r="F50" s="56" t="n">
        <x:v>255270</x:v>
      </x:c>
      <x:c r="G50" s="47" t="str">
        <x:v>Не установлено</x:v>
      </x:c>
      <x:c r="H50" s="47" t="str">
        <x:v>Не найдено опубликованного подтверждения</x:v>
      </x:c>
      <x:c r="I50" s="47" t="str">
        <x:v>Не установлен</x:v>
      </x:c>
      <x:c r="J50" s="47" t="str">
        <x:v>Торги на право договора КРТ не найдены в открытой выдаче</x:v>
      </x:c>
      <x:c r="K50" s="47" t="str">
        <x:v>Не подтверждена</x:v>
      </x:c>
      <x:c r="L50" s="47" t="str">
        <x:v>Не установлена</x:v>
      </x:c>
      <x:c r="M50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50" s="47" t="str">
        <x:v>Ограниченная</x:v>
      </x:c>
      <x:c r="O50" s="58" t="str">
        <x:v>https://krt.mos.ru/projects/mkad-26-km-lipetskaya-ul-vl-27</x:v>
      </x:c>
      <x:c r="P50" s="58" t="str">
        <x:v>—</x:v>
      </x:c>
      <x:c r="Q50" s="58" t="str">
        <x:v>—</x:v>
      </x:c>
      <x:c r="R50" s="47" t="str">
        <x:v>02.09.2026</x:v>
      </x:c>
    </x:row>
    <x:row r="51" ht="58.5" customHeight="1">
      <x:c r="A51" s="53" t="str">
        <x:v>КРНТ «Дмитровское шоссе, ул. Новодачная» (ранее Дмитровское шоссе (пересечение с Долгопрудненским шоссе))</x:v>
      </x:c>
      <x:c r="B51" s="54" t="str">
        <x:v>СВАО</x:v>
      </x:c>
      <x:c r="C51" s="54" t="str">
        <x:v>Северный</x:v>
      </x:c>
      <x:c r="D51" s="54" t="str">
        <x:v>Планируемый</x:v>
      </x:c>
      <x:c r="E51" s="55" t="n">
        <x:v>20.39</x:v>
      </x:c>
      <x:c r="F51" s="56" t="n">
        <x:v>204360</x:v>
      </x:c>
      <x:c r="G51" s="47" t="str">
        <x:v>Не установлено</x:v>
      </x:c>
      <x:c r="H51" s="47" t="str">
        <x:v>Не найдено опубликованного подтверждения</x:v>
      </x:c>
      <x:c r="I51" s="47" t="str">
        <x:v>Не установлен; прежняя автоподстановка ГК «Основа» не подтверждена адресным договором/решением</x:v>
      </x:c>
      <x:c r="J51" s="47" t="str">
        <x:v>Торги на право договора КРТ не найдены в открытой выдаче</x:v>
      </x:c>
      <x:c r="K51" s="47" t="str">
        <x:v>Не подтверждена</x:v>
      </x:c>
      <x:c r="L51" s="47" t="str">
        <x:v>Не установлена</x:v>
      </x:c>
      <x:c r="M51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51" s="47" t="str">
        <x:v>Ограниченная</x:v>
      </x:c>
      <x:c r="O51" s="58" t="str">
        <x:v>https://krt.mos.ru/projects/dmitrovskoe-shosse-peresechenie-s-dolgoprudnenskim-shosse</x:v>
      </x:c>
      <x:c r="P51" s="58" t="str">
        <x:v>—</x:v>
      </x:c>
      <x:c r="Q51" s="58" t="str">
        <x:v>—</x:v>
      </x:c>
      <x:c r="R51" s="47" t="str">
        <x:v>02.09.2026</x:v>
      </x:c>
    </x:row>
    <x:row r="52" ht="58.5" customHeight="1">
      <x:c r="A52" s="53" t="str">
        <x:v>в районе дер. Крекшино</x:v>
      </x:c>
      <x:c r="B52" s="54" t="str">
        <x:v>НАО</x:v>
      </x:c>
      <x:c r="C52" s="54" t="str">
        <x:v>Внуково</x:v>
      </x:c>
      <x:c r="D52" s="54" t="str">
        <x:v>Планируемый</x:v>
      </x:c>
      <x:c r="E52" s="55" t="n">
        <x:v>63.91</x:v>
      </x:c>
      <x:c r="F52" s="56" t="n">
        <x:v>628550</x:v>
      </x:c>
      <x:c r="G52" s="47" t="str">
        <x:v>Торги состоялись без инвестора — по вторичному источнику</x:v>
      </x:c>
      <x:c r="H52" s="47" t="str">
        <x:v>Не определён</x:v>
      </x:c>
      <x:c r="I52" s="47" t="str">
        <x:v>Не установлен</x:v>
      </x:c>
      <x:c r="J52" s="47" t="str">
        <x:v>Торги объявлены 19.05.2026; 25.06.2026 сообщено, что инвестор не найден</x:v>
      </x:c>
      <x:c r="K52" s="47" t="str">
        <x:v>Не подтверждена</x:v>
      </x:c>
      <x:c r="L52" s="47" t="str">
        <x:v>Не установлена</x:v>
      </x:c>
      <x:c r="M52" s="47" t="str">
        <x:v>Официально подтверждено выставление на торги; отсутствие инвестора подтверждено только вторичным отраслевым источником.</x:v>
      </x:c>
      <x:c r="N52" s="47" t="str">
        <x:v>Высокая по объявлению; средняя по итогу</x:v>
      </x:c>
      <x:c r="O52" s="58" t="str">
        <x:v>https://krt.mos.ru/projects/v-rayone-der-krekshino</x:v>
      </x:c>
      <x:c r="P52" s="58" t="str">
        <x:v>https://news.google.com/rss/articles/CBMiUEFVX3lxTE4wZXdHNV80endPLWp1S3IyMG81TXFORFE0NXVGOHAza1g1VEVERUpVdEpCby1pZndpWmF4SUdMWXA3LVZNZjlWWUpoTWZ3RnI4?oc=5</x:v>
      </x:c>
      <x:c r="Q52" s="58" t="str">
        <x:v>https://raenza.ru/u/wizard/195557/</x:v>
      </x:c>
      <x:c r="R52" s="47" t="str">
        <x:v>02.09.2026</x:v>
      </x:c>
    </x:row>
    <x:row r="53" ht="58.5" customHeight="1">
      <x:c r="A53" s="53" t="str">
        <x:v>вблизи д. Дудкино</x:v>
      </x:c>
      <x:c r="B53" s="54" t="str">
        <x:v>НАО</x:v>
      </x:c>
      <x:c r="C53" s="54" t="str">
        <x:v>Коммунарка</x:v>
      </x:c>
      <x:c r="D53" s="54" t="str">
        <x:v>Планируемый</x:v>
      </x:c>
      <x:c r="E53" s="55" t="n">
        <x:v>83.46</x:v>
      </x:c>
      <x:c r="F53" s="56" t="n">
        <x:v>1225520</x:v>
      </x:c>
      <x:c r="G53" s="47" t="str">
        <x:v>Не установлено</x:v>
      </x:c>
      <x:c r="H53" s="47" t="str">
        <x:v>Не найдено опубликованного подтверждения</x:v>
      </x:c>
      <x:c r="I53" s="47" t="str">
        <x:v>Не установлен; прежняя автоподстановка «МелиСад» не подтверждена адресным договором/решением</x:v>
      </x:c>
      <x:c r="J53" s="47" t="str">
        <x:v>Торги на право договора КРТ не найдены в открытой выдаче</x:v>
      </x:c>
      <x:c r="K53" s="47" t="str">
        <x:v>Не подтверждена</x:v>
      </x:c>
      <x:c r="L53" s="47" t="str">
        <x:v>Не установлена</x:v>
      </x:c>
      <x:c r="M53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53" s="47" t="str">
        <x:v>Ограниченная</x:v>
      </x:c>
      <x:c r="O53" s="58" t="str">
        <x:v>https://krt.mos.ru/projects/vblizi-d-dudkino-kornilova-krt-1</x:v>
      </x:c>
      <x:c r="P53" s="58" t="str">
        <x:v>—</x:v>
      </x:c>
      <x:c r="Q53" s="58" t="str">
        <x:v>—</x:v>
      </x:c>
      <x:c r="R53" s="47" t="str">
        <x:v>02.09.2026</x:v>
      </x:c>
    </x:row>
    <x:row r="54" ht="58.5" customHeight="1">
      <x:c r="A54" s="53" t="str">
        <x:v>вблизи дер. Шельбутово</x:v>
      </x:c>
      <x:c r="B54" s="54" t="str">
        <x:v>НАО</x:v>
      </x:c>
      <x:c r="C54" s="54" t="str">
        <x:v>Внуково</x:v>
      </x:c>
      <x:c r="D54" s="54" t="str">
        <x:v>Планируемый</x:v>
      </x:c>
      <x:c r="E54" s="55" t="n">
        <x:v>46.34</x:v>
      </x:c>
      <x:c r="F54" s="56" t="n">
        <x:v>401210</x:v>
      </x:c>
      <x:c r="G54" s="47" t="str">
        <x:v>Не установлено</x:v>
      </x:c>
      <x:c r="H54" s="47" t="str">
        <x:v>Не найдено опубликованного подтверждения</x:v>
      </x:c>
      <x:c r="I54" s="47" t="str">
        <x:v>Не установлен</x:v>
      </x:c>
      <x:c r="J54" s="47" t="str">
        <x:v>Торги на право договора КРТ не найдены в открытой выдаче</x:v>
      </x:c>
      <x:c r="K54" s="47" t="str">
        <x:v>Не подтверждена</x:v>
      </x:c>
      <x:c r="L54" s="47" t="str">
        <x:v>Не установлена</x:v>
      </x:c>
      <x:c r="M54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</x:v>
      </x:c>
      <x:c r="N54" s="47" t="str">
        <x:v>Ограниченная</x:v>
      </x:c>
      <x:c r="O54" s="58" t="str">
        <x:v>https://krt.mos.ru/projects/vblizi-d-shelbutovo</x:v>
      </x:c>
      <x:c r="P54" s="58" t="str">
        <x:v>—</x:v>
      </x:c>
      <x:c r="Q54" s="58" t="str">
        <x:v>—</x:v>
      </x:c>
      <x:c r="R54" s="47" t="str">
        <x:v>02.09.2026</x:v>
      </x:c>
    </x:row>
    <x:row r="55" ht="58.5" customHeight="1">
      <x:c r="A55" s="53" t="str">
        <x:v>вблизи м. Коммунарка</x:v>
      </x:c>
      <x:c r="B55" s="54" t="str">
        <x:v>НАО</x:v>
      </x:c>
      <x:c r="C55" s="54" t="str">
        <x:v>Коммунарка</x:v>
      </x:c>
      <x:c r="D55" s="54" t="str">
        <x:v>Планируемый</x:v>
      </x:c>
      <x:c r="E55" s="55" t="n">
        <x:v>13.74</x:v>
      </x:c>
      <x:c r="F55" s="56" t="n">
        <x:v>303800</x:v>
      </x:c>
      <x:c r="G55" s="47" t="str">
        <x:v>Не установлено</x:v>
      </x:c>
      <x:c r="H55" s="47" t="str">
        <x:v>Не найдено опубликованного подтверждения</x:v>
      </x:c>
      <x:c r="I55" s="47" t="str">
        <x:v>Не установлен; прежняя автоподстановка ГК «Расцветай» не подтверждена адресным договором/решением</x:v>
      </x:c>
      <x:c r="J55" s="47" t="str">
        <x:v>Торги на право договора КРТ не найдены в открытой выдаче</x:v>
      </x:c>
      <x:c r="K55" s="47" t="str">
        <x:v>Не подтверждена</x:v>
      </x:c>
      <x:c r="L55" s="47" t="str">
        <x:v>Не установлена</x:v>
      </x:c>
      <x:c r="M55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55" s="47" t="str">
        <x:v>Ограниченная</x:v>
      </x:c>
      <x:c r="O55" s="58" t="str">
        <x:v>https://krt.mos.ru/projects/vblizi-m-kommunarka</x:v>
      </x:c>
      <x:c r="P55" s="58" t="str">
        <x:v>—</x:v>
      </x:c>
      <x:c r="Q55" s="58" t="str">
        <x:v>—</x:v>
      </x:c>
      <x:c r="R55" s="47" t="str">
        <x:v>02.09.2026</x:v>
      </x:c>
    </x:row>
    <x:row r="56" ht="58.5" customHeight="1">
      <x:c r="A56" s="53" t="str">
        <x:v>КРНТ Остафьевское шоссе</x:v>
      </x:c>
      <x:c r="B56" s="54" t="str">
        <x:v>НАО</x:v>
      </x:c>
      <x:c r="C56" s="54" t="str">
        <x:v>Щербинка</x:v>
      </x:c>
      <x:c r="D56" s="54" t="str">
        <x:v>Планируемый</x:v>
      </x:c>
      <x:c r="E56" s="55" t="n">
        <x:v>25.19</x:v>
      </x:c>
      <x:c r="F56" s="56" t="n">
        <x:v>210700</x:v>
      </x:c>
      <x:c r="G56" s="47" t="str">
        <x:v>Не установлено</x:v>
      </x:c>
      <x:c r="H56" s="47" t="str">
        <x:v>Не найдено опубликованного подтверждения</x:v>
      </x:c>
      <x:c r="I56" s="47" t="str">
        <x:v>Не установлен; прежняя автоподстановка ГК «Самолёт» не подтверждена адресным договором/решением</x:v>
      </x:c>
      <x:c r="J56" s="47" t="str">
        <x:v>Торги на право договора КРТ не найдены в открытой выдаче</x:v>
      </x:c>
      <x:c r="K56" s="47" t="str">
        <x:v>Не подтверждена</x:v>
      </x:c>
      <x:c r="L56" s="47" t="str">
        <x:v>Не установлена</x:v>
      </x:c>
      <x:c r="M56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56" s="47" t="str">
        <x:v>Ограниченная</x:v>
      </x:c>
      <x:c r="O56" s="58" t="str">
        <x:v>https://krt.mos.ru/projects/ostafevskoe-shosse</x:v>
      </x:c>
      <x:c r="P56" s="58" t="str">
        <x:v>—</x:v>
      </x:c>
      <x:c r="Q56" s="58" t="str">
        <x:v>—</x:v>
      </x:c>
      <x:c r="R56" s="47" t="str">
        <x:v>02.09.2026</x:v>
      </x:c>
    </x:row>
    <x:row r="57" ht="58.5" customHeight="1">
      <x:c r="A57" s="53" t="str">
        <x:v>Магистральные улицы тер. 4, 5, 6</x:v>
      </x:c>
      <x:c r="B57" s="54" t="str">
        <x:v>САО</x:v>
      </x:c>
      <x:c r="C57" s="54" t="str">
        <x:v>Хорошёвский</x:v>
      </x:c>
      <x:c r="D57" s="54" t="str">
        <x:v>Планируемый</x:v>
      </x:c>
      <x:c r="E57" s="55" t="n">
        <x:v>73.62</x:v>
      </x:c>
      <x:c r="F57" s="56" t="n">
        <x:v>3270000</x:v>
      </x:c>
      <x:c r="G57" s="47" t="str">
        <x:v>Занято / сформирован оператор</x:v>
      </x:c>
      <x:c r="H57" s="47" t="str">
        <x:v>ООО «КРТ «Магистральные улицы»</x:v>
      </x:c>
      <x:c r="I57" s="47" t="str">
        <x:v>Связь с группой ЕСН указана вторичными деловыми источниками; официально не подтверждена в найденной публикации</x:v>
      </x:c>
      <x:c r="J57" s="47" t="str">
        <x:v>Торги на право договора КРТ не найдены</x:v>
      </x:c>
      <x:c r="K57" s="47" t="str">
        <x:v>Не подтверждена</x:v>
      </x:c>
      <x:c r="L57" s="47" t="str">
        <x:v>Не установлена; Московский фонд реновации не следует путать с ООО «КРТ» города Москвы</x:v>
      </x:c>
      <x:c r="M57" s="47" t="str">
        <x:v>Название оператора найдено в деловой публикации; структура владения и инвестор требуют проверки по ЕГРЮЛ/договору.</x:v>
      </x:c>
      <x:c r="N57" s="47" t="str">
        <x:v>Средняя</x:v>
      </x:c>
      <x:c r="O57" s="58" t="str">
        <x:v>https://krt.mos.ru/projects/magistralnye-ulitsy-ter-4-5-6</x:v>
      </x:c>
      <x:c r="P57" s="58" t="str">
        <x:v>https://raenza.ru/u/germanrun/194425/</x:v>
      </x:c>
      <x:c r="Q57" s="58" t="str">
        <x:v>https://myseldon.com/ru/news/index/334696075</x:v>
      </x:c>
      <x:c r="R57" s="47" t="str">
        <x:v>02.09.2026</x:v>
      </x:c>
    </x:row>
    <x:row r="58" ht="58.5" customHeight="1">
      <x:c r="A58" s="53" t="str">
        <x:v>МКАД, 41 км</x:v>
      </x:c>
      <x:c r="B58" s="54" t="str">
        <x:v>ЮЗАО</x:v>
      </x:c>
      <x:c r="C58" s="54" t="str">
        <x:v>Тёплый Стан</x:v>
      </x:c>
      <x:c r="D58" s="54" t="str">
        <x:v>Планируемый</x:v>
      </x:c>
      <x:c r="E58" s="55" t="n">
        <x:v>4.74</x:v>
      </x:c>
      <x:c r="F58" s="56" t="n">
        <x:v>151130</x:v>
      </x:c>
      <x:c r="G58" s="47" t="str">
        <x:v>Торги состоялись без инвестора — по вторичному источнику</x:v>
      </x:c>
      <x:c r="H58" s="47" t="str">
        <x:v>Не определён</x:v>
      </x:c>
      <x:c r="I58" s="47" t="str">
        <x:v>Не установлен</x:v>
      </x:c>
      <x:c r="J58" s="47" t="str">
        <x:v>Торги объявлены 19.05.2026; 25.06.2026 сообщено, что инвестор не найден</x:v>
      </x:c>
      <x:c r="K58" s="47" t="str">
        <x:v>Не подтверждена</x:v>
      </x:c>
      <x:c r="L58" s="47" t="str">
        <x:v>Не установлена</x:v>
      </x:c>
      <x:c r="M58" s="47" t="str">
        <x:v>Официально подтверждено выставление на торги; отсутствие инвестора подтверждено только вторичным отраслевым источником.</x:v>
      </x:c>
      <x:c r="N58" s="47" t="str">
        <x:v>Высокая по объявлению; средняя по итогу</x:v>
      </x:c>
      <x:c r="O58" s="58" t="str">
        <x:v>https://krt.mos.ru/projects/mkad-41-km</x:v>
      </x:c>
      <x:c r="P58" s="58" t="str">
        <x:v>https://news.google.com/rss/articles/CBMiUEFVX3lxTE4wZXdHNV80endPLWp1S3IyMG81TXFORFE0NXVGOHAza1g1VEVERUpVdEpCby1pZndpWmF4SUdMWXA3LVZNZjlWWUpoTWZ3RnI4?oc=5</x:v>
      </x:c>
      <x:c r="Q58" s="58" t="str">
        <x:v>https://raenza.ru/u/wizard/195557/</x:v>
      </x:c>
      <x:c r="R58" s="47" t="str">
        <x:v>02.09.2026</x:v>
      </x:c>
    </x:row>
    <x:row r="59" ht="58.5" customHeight="1">
      <x:c r="A59" s="53" t="str">
        <x:v>п. Знамя Октября, мкр. «Родники» (территория 1)</x:v>
      </x:c>
      <x:c r="B59" s="54" t="str">
        <x:v>НАО</x:v>
      </x:c>
      <x:c r="C59" s="54" t="str">
        <x:v>Щербинка</x:v>
      </x:c>
      <x:c r="D59" s="54" t="str">
        <x:v>Планируемый</x:v>
      </x:c>
      <x:c r="E59" s="55" t="n">
        <x:v>14.49</x:v>
      </x:c>
      <x:c r="F59" s="56" t="n">
        <x:v>233430</x:v>
      </x:c>
      <x:c r="G59" s="47" t="str">
        <x:v>Не установлено</x:v>
      </x:c>
      <x:c r="H59" s="47" t="str">
        <x:v>Не найдено опубликованного подтверждения</x:v>
      </x:c>
      <x:c r="I59" s="47" t="str">
        <x:v>Не установлен; прежняя автоподстановка непроверенное название из сниппета не подтверждена адресным договором/решением</x:v>
      </x:c>
      <x:c r="J59" s="47" t="str">
        <x:v>Торги на право договора КРТ не найдены в открытой выдаче</x:v>
      </x:c>
      <x:c r="K59" s="47" t="str">
        <x:v>Не подтверждена</x:v>
      </x:c>
      <x:c r="L59" s="47" t="str">
        <x:v>Не установлена</x:v>
      </x:c>
      <x:c r="M59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59" s="47" t="str">
        <x:v>Ограниченная</x:v>
      </x:c>
      <x:c r="O59" s="58" t="str">
        <x:v>https://krt.mos.ru/projects/pos-ryazanovskoe-p-znamya-oktyabrya-mkr-rodniki-territoriya-</x:v>
      </x:c>
      <x:c r="P59" s="58" t="str">
        <x:v>—</x:v>
      </x:c>
      <x:c r="Q59" s="58" t="str">
        <x:v>—</x:v>
      </x:c>
      <x:c r="R59" s="47" t="str">
        <x:v>02.09.2026</x:v>
      </x:c>
    </x:row>
    <x:row r="60" ht="58.5" customHeight="1">
      <x:c r="A60" s="53" t="str">
        <x:v>пос. Кокошкино, дп. Кокошкино</x:v>
      </x:c>
      <x:c r="B60" s="54" t="str">
        <x:v>НАО</x:v>
      </x:c>
      <x:c r="C60" s="54" t="str">
        <x:v>Внуково</x:v>
      </x:c>
      <x:c r="D60" s="54" t="str">
        <x:v>Планируемый</x:v>
      </x:c>
      <x:c r="E60" s="55" t="n">
        <x:v>1.76</x:v>
      </x:c>
      <x:c r="F60" s="56" t="n">
        <x:v>47940</x:v>
      </x:c>
      <x:c r="G60" s="47" t="str">
        <x:v>Не установлено</x:v>
      </x:c>
      <x:c r="H60" s="47" t="str">
        <x:v>Не найдено опубликованного подтверждения</x:v>
      </x:c>
      <x:c r="I60" s="47" t="str">
        <x:v>Не установлен</x:v>
      </x:c>
      <x:c r="J60" s="47" t="str">
        <x:v>Торги на право договора КРТ не найдены в открытой выдаче</x:v>
      </x:c>
      <x:c r="K60" s="47" t="str">
        <x:v>Да — жильё для программы реновации</x:v>
      </x:c>
      <x:c r="L60" s="47" t="str">
        <x:v>Участие Фонда как оператора/застройщика отдельно не подтверждено</x:v>
      </x:c>
      <x:c r="M60" s="47" t="str">
        <x:v>Жилье для реализации программы реновации построят в поселке Кокошкино по проекту КРТ - Официальный сайт Мэра Москвы — Официальный сайт Мэра Москвы, Tue, 17 Jun 2025</x:v>
      </x:c>
      <x:c r="N60" s="47" t="str">
        <x:v>Высокая</x:v>
      </x:c>
      <x:c r="O60" s="58" t="str">
        <x:v>https://krt.mos.ru/projects/p-kokoshkino</x:v>
      </x:c>
      <x:c r="P60" s="58" t="str">
        <x:v>https://news.google.com/rss/articles/CBMiUEFVX3lxTE1TNEZqbS1VeE15ZmZKVE5yNzh2WE8yQjRPUmtDRmpfYzRaU3VjRzlKUk1GczY2MVc0NjJ2Nzd5bVdtblZKTms1QkZXMXM5U1po?oc=5</x:v>
      </x:c>
      <x:c r="Q60" s="58" t="str">
        <x:v>—</x:v>
      </x:c>
      <x:c r="R60" s="47" t="str">
        <x:v>02.09.2026</x:v>
      </x:c>
    </x:row>
    <x:row r="61" ht="58.5" customHeight="1">
      <x:c r="A61" s="53" t="str">
        <x:v>пос. Щапово, вблизи дер. Александрово</x:v>
      </x:c>
      <x:c r="B61" s="54" t="str">
        <x:v>ТАО</x:v>
      </x:c>
      <x:c r="C61" s="54" t="str">
        <x:v>Краснопахорский</x:v>
      </x:c>
      <x:c r="D61" s="54" t="str">
        <x:v>Планируемый</x:v>
      </x:c>
      <x:c r="E61" s="55" t="n">
        <x:v>12.9</x:v>
      </x:c>
      <x:c r="F61" s="56" t="n">
        <x:v>33890</x:v>
      </x:c>
      <x:c r="G61" s="47" t="str">
        <x:v>Не установлено</x:v>
      </x:c>
      <x:c r="H61" s="47" t="str">
        <x:v>Не найдено опубликованного подтверждения</x:v>
      </x:c>
      <x:c r="I61" s="47" t="str">
        <x:v>Не установлен; прежняя автоподстановка ГК «Самолёт» не подтверждена адресным договором/решением</x:v>
      </x:c>
      <x:c r="J61" s="47" t="str">
        <x:v>Торги на право договора КРТ не найдены в открытой выдаче</x:v>
      </x:c>
      <x:c r="K61" s="47" t="str">
        <x:v>Не подтверждена</x:v>
      </x:c>
      <x:c r="L61" s="47" t="str">
        <x:v>Не установлена</x:v>
      </x:c>
      <x:c r="M61" s="47" t="str">
        <x:v>Официальная карточка подтверждает сам проект и его параметры. Отсутствие найденной публикации не означает, что договора или торгов не было. Старую автоподстановку исключили как недоказанную.</x:v>
      </x:c>
      <x:c r="N61" s="47" t="str">
        <x:v>Ограниченная</x:v>
      </x:c>
      <x:c r="O61" s="58" t="str">
        <x:v>https://krt.mos.ru/projects/p-shchapovo-vblizi-der-aleksandrovo</x:v>
      </x:c>
      <x:c r="P61" s="58" t="str">
        <x:v>—</x:v>
      </x:c>
      <x:c r="Q61" s="58" t="str">
        <x:v>—</x:v>
      </x:c>
      <x:c r="R61" s="47" t="str">
        <x:v>02.09.2026</x:v>
      </x:c>
    </x:row>
    <x:row r="62" ht="58.5" customHeight="1">
      <x:c r="A62" s="53" t="str">
        <x:v>ул. Старые Сосенки, кв-л 30, ЗУ 1</x:v>
      </x:c>
      <x:c r="B62" s="54" t="str">
        <x:v>НАО</x:v>
      </x:c>
      <x:c r="C62" s="54" t="str">
        <x:v>Коммунарка</x:v>
      </x:c>
      <x:c r="D62" s="54" t="str">
        <x:v>Планируемый</x:v>
      </x:c>
      <x:c r="E62" s="55" t="n">
        <x:v>7.6</x:v>
      </x:c>
      <x:c r="F62" s="56" t="n">
        <x:v>113700</x:v>
      </x:c>
      <x:c r="G62" s="47" t="str">
        <x:v>Не установлено</x:v>
      </x:c>
      <x:c r="H62" s="47" t="str">
        <x:v>Не найдено опубликованного подтверждения</x:v>
      </x:c>
      <x:c r="I62" s="47" t="str">
        <x:v>Не установлен</x:v>
      </x:c>
      <x:c r="J62" s="47" t="str">
        <x:v>Торги на право договора КРТ не найдены в открытой выдаче</x:v>
      </x:c>
      <x:c r="K62" s="47" t="str">
        <x:v>Да — жильё для программы реновации</x:v>
      </x:c>
      <x:c r="L62" s="47" t="str">
        <x:v>Участие Фонда как оператора/застройщика отдельно не подтверждено</x:v>
      </x:c>
      <x:c r="M62" s="47" t="str">
        <x:v>В двух районах Москвы построят дома по программе реновации в рамках КРТ - Официальный сайт Мэра Москвы — Официальный сайт Мэра Москвы, Wed, 06 May 2026</x:v>
      </x:c>
      <x:c r="N62" s="47" t="str">
        <x:v>Высокая</x:v>
      </x:c>
      <x:c r="O62" s="58" t="str">
        <x:v>https://krt.mos.ru/projects/d-starye-sosenki-kvartal-30-zu-1</x:v>
      </x:c>
      <x:c r="P62" s="58" t="str">
        <x:v>https://news.google.com/rss/articles/CBMiU0FVX3lxTFBobi1tRGJKenl0VkFxVWJtNGVrbHNnM2d3QS0yWTRVc19UcEVoYVhtRDlvTDZQWElhQmZoUTY3cVRKRXlycF81WWNzYjFKamlJakhZ?oc=5</x:v>
      </x:c>
      <x:c r="Q62" s="58" t="str">
        <x:v>—</x:v>
      </x:c>
      <x:c r="R62" s="47" t="str">
        <x:v>02.09.2026</x:v>
      </x:c>
    </x:row>
  </x:sheetData>
  <x:mergeCells>
    <x:mergeCell ref="A1:R1"/>
    <x:mergeCell ref="A2:R2"/>
    <x:mergeCell ref="A3:B3"/>
    <x:mergeCell ref="A4:B4"/>
    <x:mergeCell ref="C3:D3"/>
    <x:mergeCell ref="C4:D4"/>
    <x:mergeCell ref="E3:F3"/>
    <x:mergeCell ref="E4:F4"/>
    <x:mergeCell ref="G3:H3"/>
    <x:mergeCell ref="G4:H4"/>
    <x:mergeCell ref="I3:J3"/>
    <x:mergeCell ref="I4:J4"/>
    <x:mergeCell ref="K3:L3"/>
    <x:mergeCell ref="K4:L4"/>
    <x:mergeCell ref="M3:R4"/>
    <x:mergeCell ref="A6:R6"/>
  </x:mergeCells>
  <x:conditionalFormatting sqref="G8:G62">
    <x:cfRule type="containsText" dxfId="0" priority="1" operator="containsText" text="Занято"/>
    <x:cfRule type="containsText" dxfId="1" priority="2" operator="containsText" text="Торги"/>
    <x:cfRule type="containsText" dxfId="2" priority="3" operator="containsText" text="Не установлено"/>
  </x:conditionalFormatting>
  <x:conditionalFormatting sqref="K8:K62">
    <x:cfRule type="beginsWith" dxfId="3" priority="4" operator="beginsWith" text="Да"/>
    <x:cfRule type="containsText" dxfId="4" priority="5" operator="containsText" text="Вероятно"/>
  </x:conditionalFormatting>
  <x:conditionalFormatting sqref="H8:H62">
    <x:cfRule type="containsText" dxfId="5" priority="6" operator="containsText" text="Не найдено"/>
  </x:conditionalFormatting>
  <x:pageMargins left="0.7" right="0.7" top="0.75" bottom="0.75" header="0.3" footer="0.3"/>
  <x:tableParts count="1">
    <x:tablePart xmlns:r="http://schemas.openxmlformats.org/officeDocument/2006/relationships" r:id="Ra706ecee0a094c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5" hidden="0" customWidth="1"/>
  </x:cols>
  <x:sheetData>
    <x:row r="1" ht="36" customHeight="1">
      <x:c r="A1" s="3" t="str">
        <x:v>Как читать проверку</x:v>
      </x:c>
      <x:c r="B1" s="3"/>
      <x:c r="C1" s="3"/>
      <x:c r="D1" s="3"/>
      <x:c r="E1" s="3"/>
      <x:c r="F1" s="3"/>
    </x:row>
    <x:row r="3" ht="22.5" customHeight="1">
      <x:c r="A3" s="64" t="str">
        <x:v>Поле</x:v>
      </x:c>
      <x:c r="B3" s="64" t="str">
        <x:v>Правило проверки</x:v>
      </x:c>
    </x:row>
    <x:row r="4" ht="40.5" customHeight="1">
      <x:c r="A4" s="66" t="str">
        <x:v>Оператор КРТ</x:v>
      </x:c>
      <x:c r="B4" s="62" t="str">
        <x:v>Только лицо, прямо названное оператором КРТ или стороной заключённого адресного договора. Бренд ЖК сам по себе оператором не считается.</x:v>
      </x:c>
    </x:row>
    <x:row r="5" ht="40.5" customHeight="1">
      <x:c r="A5" s="66" t="str">
        <x:v>Застройщик / правообладатель</x:v>
      </x:c>
      <x:c r="B5" s="62" t="str">
        <x:v>Вынесен отдельно. Застройщик здания, правообладатель земли и оператор КРТ могут быть разными лицами.</x:v>
      </x:c>
    </x:row>
    <x:row r="6" ht="40.5" customHeight="1">
      <x:c r="A6" s="66" t="str">
        <x:v>Торги</x:v>
      </x:c>
      <x:c r="B6" s="62" t="str">
        <x:v>Учитываются именно торги на право заключения договора КРТ. Закупка подрядчика действующим оператором не делает площадку доступной для нового инвестора.</x:v>
      </x:c>
    </x:row>
    <x:row r="7" ht="40.5" customHeight="1">
      <x:c r="A7" s="66" t="str">
        <x:v>Реновация</x:v>
      </x:c>
      <x:c r="B7" s="62" t="str">
        <x:v>«Да» ставится только при адресном упоминании программы реновации в решении, постановлении или официальной публикации. Новости о районе целиком не переносятся на проект.</x:v>
      </x:c>
    </x:row>
    <x:row r="8" ht="40.5" customHeight="1">
      <x:c r="A8" s="66" t="str">
        <x:v>Фонд реновации</x:v>
      </x:c>
      <x:c r="B8" s="62" t="str">
        <x:v>Роль записана буквально: оператор, застройщик или сторона соглашения. Упоминание Фонда не означает автоматически, что он оператор КРТ.</x:v>
      </x:c>
    </x:row>
    <x:row r="9" ht="40.5" customHeight="1">
      <x:c r="A9" s="66" t="str">
        <x:v>Не найдено</x:v>
      </x:c>
      <x:c r="B9" s="62" t="str">
        <x:v>Означает отсутствие подтверждения в доступной открытой выдаче на дату проверки, а не юридическое доказательство отсутствия факта.</x:v>
      </x:c>
    </x:row>
    <x:row r="10" ht="40.5" customHeight="1">
      <x:c r="A10" s="66" t="str">
        <x:v>Надёжность</x:v>
      </x:c>
      <x:c r="B10" s="62" t="str">
        <x:v>Высокая — адресный первичный/официальный источник; средняя — отраслевой или реестровый источник; ограниченная — только карточка проекта и отсутствие отдельной публикации.</x:v>
      </x:c>
    </x:row>
    <x:row r="11" ht="40.5" customHeight="1">
      <x:c r="A11" s="66" t="str">
        <x:v>Дубликаты</x:v>
      </x:c>
      <x:c r="B11" s="62" t="str">
        <x:v>Строка «Бескудниково тер. 1, 2» была продублирована в исходном Excel; в проверке оставлена один раз.</x:v>
      </x:c>
    </x:row>
  </x:sheetData>
  <x:mergeCells>
    <x:mergeCell ref="A1:F1"/>
  </x:mergeCells>
  <x:pageMargins left="0.7" right="0.7" top="0.75" bottom="0.75" header="0.3" footer="0.3"/>
</x:worksheet>
</file>