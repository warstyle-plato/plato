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gant_vv\Downloads\"/>
    </mc:Choice>
  </mc:AlternateContent>
  <bookViews>
    <workbookView xWindow="390" yWindow="390" windowWidth="25130" windowHeight="15320"/>
  </bookViews>
  <sheets>
    <sheet name="расчет_200 тыс кв" sheetId="1" r:id="rId1"/>
    <sheet name="соц" sheetId="2" r:id="rId2"/>
    <sheet name="раб места" sheetId="3" r:id="rId3"/>
    <sheet name="м_м" sheetId="4" r:id="rId4"/>
  </sheets>
  <externalReferences>
    <externalReference r:id="rId5"/>
    <externalReference r:id="rId6"/>
  </externalReferences>
  <definedNames>
    <definedName name="_xlnm.Print_Titles" localSheetId="0">'расчет_200 тыс кв'!$3:$3</definedName>
    <definedName name="_xlnm.Print_Area" localSheetId="3">м_м!$A$2:$E$17</definedName>
    <definedName name="_xlnm.Print_Area" localSheetId="0">'расчет_200 тыс кв'!$A$1:$E$60</definedName>
    <definedName name="_xlnm.Print_Area" localSheetId="1">соц!$A$1:$L$33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D43" i="1"/>
  <c r="D42" i="1" s="1"/>
  <c r="D41" i="1"/>
  <c r="D14" i="4"/>
  <c r="E14" i="4" s="1"/>
  <c r="D10" i="4"/>
  <c r="E10" i="4" s="1"/>
  <c r="C9" i="4"/>
  <c r="E9" i="4" s="1"/>
  <c r="C8" i="4"/>
  <c r="C12" i="4"/>
  <c r="D8" i="4"/>
  <c r="E8" i="4" s="1"/>
  <c r="D40" i="1"/>
  <c r="D12" i="3"/>
  <c r="D11" i="3"/>
  <c r="D10" i="3"/>
  <c r="D10" i="1"/>
  <c r="I30" i="2"/>
  <c r="D12" i="4" s="1"/>
  <c r="I28" i="2"/>
  <c r="D13" i="3" s="1"/>
  <c r="I22" i="2"/>
  <c r="D15" i="3" s="1"/>
  <c r="I19" i="2"/>
  <c r="I17" i="2"/>
  <c r="O22" i="2" l="1"/>
  <c r="D11" i="4"/>
  <c r="E11" i="4" s="1"/>
  <c r="D13" i="4"/>
  <c r="E13" i="4" s="1"/>
  <c r="D14" i="3"/>
  <c r="D9" i="4"/>
  <c r="D53" i="1" l="1"/>
  <c r="D54" i="1" s="1"/>
  <c r="K23" i="1"/>
  <c r="L23" i="1" s="1"/>
  <c r="P11" i="1"/>
  <c r="F26" i="2"/>
  <c r="G26" i="2" s="1"/>
  <c r="D34" i="1"/>
  <c r="C16" i="4" s="1"/>
  <c r="E16" i="4" s="1"/>
  <c r="E17" i="3"/>
  <c r="E15" i="3"/>
  <c r="E14" i="3"/>
  <c r="E13" i="3"/>
  <c r="E12" i="3"/>
  <c r="E11" i="3"/>
  <c r="E10" i="3"/>
  <c r="D18" i="1"/>
  <c r="F15" i="2" l="1"/>
  <c r="G15" i="2" s="1"/>
  <c r="I15" i="2" s="1"/>
  <c r="D6" i="4" s="1"/>
  <c r="E6" i="4" s="1"/>
  <c r="D5" i="3"/>
  <c r="D19" i="3" s="1"/>
  <c r="D35" i="1"/>
  <c r="D8" i="1" s="1"/>
  <c r="D7" i="3"/>
  <c r="E7" i="3" s="1"/>
  <c r="D57" i="1"/>
  <c r="D56" i="1"/>
  <c r="D11" i="1"/>
  <c r="D30" i="1"/>
  <c r="D6" i="1" s="1"/>
  <c r="D23" i="1"/>
  <c r="D24" i="1"/>
  <c r="D13" i="1" s="1"/>
  <c r="D29" i="1"/>
  <c r="D26" i="1"/>
  <c r="D20" i="1"/>
  <c r="D32" i="1" s="1"/>
  <c r="C15" i="4" s="1"/>
  <c r="D21" i="1"/>
  <c r="D22" i="1"/>
  <c r="D37" i="1" s="1"/>
  <c r="F17" i="2" l="1"/>
  <c r="G17" i="2" s="1"/>
  <c r="F22" i="2"/>
  <c r="F7" i="2"/>
  <c r="F16" i="2"/>
  <c r="G16" i="2" s="1"/>
  <c r="F30" i="2"/>
  <c r="F9" i="2"/>
  <c r="O9" i="2" s="1"/>
  <c r="F21" i="2"/>
  <c r="F19" i="2"/>
  <c r="G19" i="2" s="1"/>
  <c r="G27" i="2"/>
  <c r="F12" i="2"/>
  <c r="D46" i="1" s="1"/>
  <c r="F11" i="2"/>
  <c r="D45" i="1" s="1"/>
  <c r="G24" i="2"/>
  <c r="F31" i="2"/>
  <c r="D47" i="1" s="1"/>
  <c r="F13" i="2"/>
  <c r="G29" i="2"/>
  <c r="I29" i="2" s="1"/>
  <c r="D16" i="3" s="1"/>
  <c r="E16" i="3" s="1"/>
  <c r="F23" i="2"/>
  <c r="D8" i="3"/>
  <c r="E8" i="3" s="1"/>
  <c r="E7" i="4" s="1"/>
  <c r="C7" i="4"/>
  <c r="C17" i="4"/>
  <c r="E17" i="4" s="1"/>
  <c r="D9" i="3"/>
  <c r="E9" i="3" s="1"/>
  <c r="D36" i="1"/>
  <c r="D58" i="1"/>
  <c r="D59" i="1" s="1"/>
  <c r="D60" i="1" s="1"/>
  <c r="D33" i="1"/>
  <c r="D12" i="1" s="1"/>
  <c r="D6" i="3"/>
  <c r="E6" i="3" s="1"/>
  <c r="E5" i="4" l="1"/>
  <c r="D25" i="1" s="1"/>
  <c r="D14" i="1" s="1"/>
  <c r="D15" i="1" s="1"/>
  <c r="I33" i="2"/>
  <c r="D39" i="1" s="1"/>
  <c r="E18" i="3"/>
  <c r="E20" i="3" s="1"/>
</calcChain>
</file>

<file path=xl/sharedStrings.xml><?xml version="1.0" encoding="utf-8"?>
<sst xmlns="http://schemas.openxmlformats.org/spreadsheetml/2006/main" count="303" uniqueCount="208">
  <si>
    <t xml:space="preserve">кв.м </t>
  </si>
  <si>
    <t>Целевой показатель:
общая площадь квартир</t>
  </si>
  <si>
    <t>расчет потребности:</t>
  </si>
  <si>
    <t>население</t>
  </si>
  <si>
    <t>чел.</t>
  </si>
  <si>
    <t>РНГП: 28 кв.м общ.пл. кв. на 1 чел</t>
  </si>
  <si>
    <t>Расчет потребности в объектах социальной инфраструктуры для планируемого населения</t>
  </si>
  <si>
    <t>Население</t>
  </si>
  <si>
    <t>Таблица 2.1.1.</t>
  </si>
  <si>
    <t>№ п.п</t>
  </si>
  <si>
    <t>№ зоны на чертеже</t>
  </si>
  <si>
    <t>Наименование объекта</t>
  </si>
  <si>
    <t>ед.изм</t>
  </si>
  <si>
    <t>норматив</t>
  </si>
  <si>
    <t>Требуется по нормативу</t>
  </si>
  <si>
    <t>Встроенные (1-й этаж жилых домов)</t>
  </si>
  <si>
    <t>Отдельностоящие объекты</t>
  </si>
  <si>
    <t>Дефицит (-) / Профиит (+)</t>
  </si>
  <si>
    <t>Примечание</t>
  </si>
  <si>
    <t>в ед.изм</t>
  </si>
  <si>
    <t>ДОО</t>
  </si>
  <si>
    <t>мест</t>
  </si>
  <si>
    <t>65 мест на 1000 жит</t>
  </si>
  <si>
    <t>кв.м общ.пл.</t>
  </si>
  <si>
    <t>27 кв.м общ.пл.</t>
  </si>
  <si>
    <t>ОО</t>
  </si>
  <si>
    <t>135 мест на 1000 жит</t>
  </si>
  <si>
    <t>Стационар</t>
  </si>
  <si>
    <t>коек</t>
  </si>
  <si>
    <t>6 коек на 1000 жит</t>
  </si>
  <si>
    <t>-</t>
  </si>
  <si>
    <t>Подстанция скорой помощи</t>
  </si>
  <si>
    <t>машин</t>
  </si>
  <si>
    <t>0,1 машина на 1000 жит</t>
  </si>
  <si>
    <t>Амбулатория для детей и взрослых</t>
  </si>
  <si>
    <t>пос./смену</t>
  </si>
  <si>
    <t>17,75 пос./смену на 1000 жит</t>
  </si>
  <si>
    <t>Торговые объекты</t>
  </si>
  <si>
    <t>1 530 кв.м торг.пл на 1000 жит</t>
  </si>
  <si>
    <t>в т.ч. отдельно стоящие</t>
  </si>
  <si>
    <t>300 кв.м торг.пл на 1000 жит</t>
  </si>
  <si>
    <t>Бытовое обслуживание</t>
  </si>
  <si>
    <t>раб.мест</t>
  </si>
  <si>
    <t>10,9 раб на 1000 жит</t>
  </si>
  <si>
    <t>кв.м общ пл</t>
  </si>
  <si>
    <t>30 кв.м на 1 работающего</t>
  </si>
  <si>
    <t>Общественное питание</t>
  </si>
  <si>
    <t>пос.мест</t>
  </si>
  <si>
    <t>40 посад.мест на 1000 жит</t>
  </si>
  <si>
    <t>кв.м общ.пл</t>
  </si>
  <si>
    <t>6 кв.м на 1 пос.место</t>
  </si>
  <si>
    <t>Спортивные залы</t>
  </si>
  <si>
    <t>кв.м</t>
  </si>
  <si>
    <t>106 кв.м общ.пл на 1000 жит</t>
  </si>
  <si>
    <t>Бассейн</t>
  </si>
  <si>
    <t>кв.м зеркала воды</t>
  </si>
  <si>
    <t>9,96 кв.м зеркала воды на 1000 жит.</t>
  </si>
  <si>
    <t>Открытые плоскостные спортивные сооружения</t>
  </si>
  <si>
    <t>учреждения клубного типа</t>
  </si>
  <si>
    <t>15 кв.м общ.пл</t>
  </si>
  <si>
    <t>Библиотека</t>
  </si>
  <si>
    <t>1 объект</t>
  </si>
  <si>
    <t>Школа исскуств</t>
  </si>
  <si>
    <t>детей</t>
  </si>
  <si>
    <t>12% детей в возрасте 6-15 лет</t>
  </si>
  <si>
    <t>музейно-выставочный зал</t>
  </si>
  <si>
    <t>4-6 кв.м.
на 1000 человек</t>
  </si>
  <si>
    <t>Аптека</t>
  </si>
  <si>
    <t>60-70 кв.м общ.пл. на объект</t>
  </si>
  <si>
    <t>МФЦ</t>
  </si>
  <si>
    <t>14 кв.м общ.пл на 2 тыс чел</t>
  </si>
  <si>
    <t>Отделение полиции</t>
  </si>
  <si>
    <t>1 участковый на 2,8 тыс чел; 45 кв.м на 1 пункт</t>
  </si>
  <si>
    <t>Пожарное депо</t>
  </si>
  <si>
    <t>0,2 машины на 1000 жит</t>
  </si>
  <si>
    <t>Отделение связи</t>
  </si>
  <si>
    <t>ИТОГО ОБЩЕЙ ПЛОЩАДИ</t>
  </si>
  <si>
    <t>Расчет потребности в рабочих местах для планируемого населения</t>
  </si>
  <si>
    <t>Емкость объекта</t>
  </si>
  <si>
    <t>Принято по ППТ (раб.мест)</t>
  </si>
  <si>
    <t>Примечание (нормативный показатель на 1 раб.место)</t>
  </si>
  <si>
    <t>Дошкольная образовательная организация</t>
  </si>
  <si>
    <t>место</t>
  </si>
  <si>
    <t>20 раб.мест на 100 ед емкости</t>
  </si>
  <si>
    <t>Общеобразовательная организация</t>
  </si>
  <si>
    <t>15 рабочих мест на 100 единиц емкости</t>
  </si>
  <si>
    <t>торговые объекты</t>
  </si>
  <si>
    <t>кв.м торг. пл.</t>
  </si>
  <si>
    <t>15 кв.м общей площади здания</t>
  </si>
  <si>
    <t>амбулатория</t>
  </si>
  <si>
    <t>30 рабочих мест на 100 посещений</t>
  </si>
  <si>
    <t>бытовое обслуживания</t>
  </si>
  <si>
    <t>30 кв. метров общей площади здания</t>
  </si>
  <si>
    <t>общественное питание</t>
  </si>
  <si>
    <t>6 пос.мест</t>
  </si>
  <si>
    <t>досуговый центр</t>
  </si>
  <si>
    <t>60 кв. метров общей площади здания</t>
  </si>
  <si>
    <t>аптека</t>
  </si>
  <si>
    <t>15 кв.м общей площади помещений</t>
  </si>
  <si>
    <t>отделение полиции</t>
  </si>
  <si>
    <t>1 участковый на 2,8 тыс.жителей</t>
  </si>
  <si>
    <t>спортивный зал</t>
  </si>
  <si>
    <t>10 кв.м общей площади здания</t>
  </si>
  <si>
    <t>офисные помещения</t>
  </si>
  <si>
    <t>ИТОГО:</t>
  </si>
  <si>
    <t>потребность в раб местах</t>
  </si>
  <si>
    <t>дефицит (-) / профицит (+)</t>
  </si>
  <si>
    <t>га</t>
  </si>
  <si>
    <t>места в ДОО</t>
  </si>
  <si>
    <t>места хранения автотранспорта (постоянные)</t>
  </si>
  <si>
    <t>рабочие места</t>
  </si>
  <si>
    <t>места хранения автотранспорта (временные)</t>
  </si>
  <si>
    <t>поликлиника</t>
  </si>
  <si>
    <t>м/м</t>
  </si>
  <si>
    <t>90% от 356 м/м на 1 тыс. чел. (РНГП п. 5.12)</t>
  </si>
  <si>
    <t>18% от уровня автомобилизации (РНГП п. 5.12)</t>
  </si>
  <si>
    <t>50% населения (РНГП п. 1.17)</t>
  </si>
  <si>
    <t>Многофункциональная хоккейная площадка размером 60 м в длину и от 26 до 30 м в ширину, спортивная площадка для игры в мини-футбол от 42 до 65 в длину и от 25 до 35 в ширину.</t>
  </si>
  <si>
    <t>Физкультурно-оздоровительный комплекс, включающий спортивный зал для игровых видов спорта размером 30(36) м на 18 м с высотой потолка не менее 5 метров, тренажерный зал, фитнес зал (варианты № 1, № 2) (последовательность приведена с учетом уменьшения уровня приоритизации)</t>
  </si>
  <si>
    <t>6,5 кв.м на 1 человека</t>
  </si>
  <si>
    <t>объекты физкультуры и спорта</t>
  </si>
  <si>
    <t>4,4 кв.м. на 1 человека</t>
  </si>
  <si>
    <t>Озелененные территории (озеленение жилых кварталов, земельных участков соц.объектов</t>
  </si>
  <si>
    <t>необходимо разместить:</t>
  </si>
  <si>
    <t>места в СОШ</t>
  </si>
  <si>
    <t>38 кв.м на 1 место</t>
  </si>
  <si>
    <t>площадь участка, га</t>
  </si>
  <si>
    <t>СОШ</t>
  </si>
  <si>
    <t>кратное 25 мест</t>
  </si>
  <si>
    <t>31 кв.м на 1 место</t>
  </si>
  <si>
    <t>требует компенсации в бюджет:</t>
  </si>
  <si>
    <t>Площадь территории проектирования</t>
  </si>
  <si>
    <t>озелененные территории общего пользования</t>
  </si>
  <si>
    <t>35 кв.м на 1 м/м</t>
  </si>
  <si>
    <t>Поликлиника</t>
  </si>
  <si>
    <t>участок СОШ</t>
  </si>
  <si>
    <t>в соответствии с прошлым эскизом</t>
  </si>
  <si>
    <t>площадь наземных парковок (временные)</t>
  </si>
  <si>
    <t>22,5 кв.м на 1 м/м</t>
  </si>
  <si>
    <t>без учета резерва для размещения инженерных объектов, приобъектных парковок</t>
  </si>
  <si>
    <t>расчетные показатели</t>
  </si>
  <si>
    <t>площадь квартир</t>
  </si>
  <si>
    <t>СПП ГНС</t>
  </si>
  <si>
    <t>коэффициент - 0,6351 (для квартир 0,68, для нежил - 0,8)</t>
  </si>
  <si>
    <t>пятно застройки</t>
  </si>
  <si>
    <t>с прошлого эскиза</t>
  </si>
  <si>
    <t>срдняя этажность</t>
  </si>
  <si>
    <t>эт</t>
  </si>
  <si>
    <t>13 эт - 17600</t>
  </si>
  <si>
    <t>расчетный квартал (математически)</t>
  </si>
  <si>
    <t>40% парковок</t>
  </si>
  <si>
    <t>площадь парковк 40%</t>
  </si>
  <si>
    <t>квартал + бульвар</t>
  </si>
  <si>
    <t>Дефицит (-) / Профицит (+) территории</t>
  </si>
  <si>
    <t>рассчитан ориентировочно для эт. 9-17 эт.</t>
  </si>
  <si>
    <t>участок поликлиники</t>
  </si>
  <si>
    <t>кв.м общ. пл.</t>
  </si>
  <si>
    <t>Нежилые помещения для общественных объектов</t>
  </si>
  <si>
    <t>Расчет потребности в м/м для объектов социальной инфраструктуры</t>
  </si>
  <si>
    <t>1 м/м на</t>
  </si>
  <si>
    <t>Емкость</t>
  </si>
  <si>
    <t>Общая площадь, кв.м</t>
  </si>
  <si>
    <t>Потребность в м/м</t>
  </si>
  <si>
    <t>40-50 кв.м общей площади - периодич.спрос; 60-70 кв.м - специализир.магазины 
для расчета принят средний показатель</t>
  </si>
  <si>
    <t>10-12 м/м на 100 сотрудников,
4-6 м/м на 100 посещений</t>
  </si>
  <si>
    <t>10-15 кв.м общей площади</t>
  </si>
  <si>
    <t>4-5 пос.мест</t>
  </si>
  <si>
    <t>20-25 кв.м общей площади</t>
  </si>
  <si>
    <t>40-50 кв.м общей площади</t>
  </si>
  <si>
    <t>20-40 кв.м общей площади</t>
  </si>
  <si>
    <t>50 кв.м. общей площади</t>
  </si>
  <si>
    <t>офисы</t>
  </si>
  <si>
    <t>1 м/м на 100 мест; 7 м/м на 100 раб.</t>
  </si>
  <si>
    <t>места хранения автотранспорта (приобъектные)</t>
  </si>
  <si>
    <t>Дополнительно нежилые помещения для компенсации потребности в рабочих местах</t>
  </si>
  <si>
    <t>максимальная площадь объекта определена от площади участка 0,89 га; 60% пятна застройки; 5 этажей; коэффициент от СПП ГНС - 0,8</t>
  </si>
  <si>
    <t>Озелененные территории общего пользования (в т.ч. Бульвар, озеленении УДС, спорт площадки общего пользования)</t>
  </si>
  <si>
    <t>УДС (полотно дорог в красных линиях без учета озеленения)</t>
  </si>
  <si>
    <t>расчетно по нормативу с учетом озеленения в красных линиях удс</t>
  </si>
  <si>
    <t>участок МФК</t>
  </si>
  <si>
    <t>участок ДОО</t>
  </si>
  <si>
    <t xml:space="preserve">расчетная площадь участков жилых домов </t>
  </si>
  <si>
    <t>МФК</t>
  </si>
  <si>
    <t>кв.м подземная</t>
  </si>
  <si>
    <t>при площади участка 0,89 га, 
подземный паркинг 2 уровня</t>
  </si>
  <si>
    <t>площадь наземных парковок (приобъектные кроме парковок для МФК)</t>
  </si>
  <si>
    <t>№ п.п.</t>
  </si>
  <si>
    <t>Наименование показателя</t>
  </si>
  <si>
    <t>Ед.изм.</t>
  </si>
  <si>
    <t>Показатель</t>
  </si>
  <si>
    <t>Ориентировочный расчет (математический) технико-экономических показтелей 
целевой показатель 200,0 тыс.кв.м площади квартир</t>
  </si>
  <si>
    <t>Баланс территории</t>
  </si>
  <si>
    <t>Подземный паркинг (постоянного хренения)</t>
  </si>
  <si>
    <t>1.1.</t>
  </si>
  <si>
    <t>1.2.</t>
  </si>
  <si>
    <t>1.3.</t>
  </si>
  <si>
    <t>1.4.</t>
  </si>
  <si>
    <t>1.5.</t>
  </si>
  <si>
    <t>1.6.</t>
  </si>
  <si>
    <t>1.7.</t>
  </si>
  <si>
    <t>1.8.</t>
  </si>
  <si>
    <t>1.9.</t>
  </si>
  <si>
    <t>21.1.</t>
  </si>
  <si>
    <t>21.2.</t>
  </si>
  <si>
    <t>21.3.</t>
  </si>
  <si>
    <t>общ пл кв.м</t>
  </si>
  <si>
    <t>общ. пл. кв.м</t>
  </si>
  <si>
    <t>948,3 кв.м тер-рии на 1000 жит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</si>
</sst>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0.0"/>
    <numFmt numFmtId="167" formatCode="#,##0.000"/>
    <numFmt numFmtId="168" formatCode="_-* #,##0.0\ _₽_-;\-* #,##0.0\ _₽_-;_-* &quot;-&quot;??\ _₽_-;_-@_-"/>
    <numFmt numFmtId="169" formatCode="_-* #,##0\ _₽_-;\-* #,##0\ _₽_-;_-* &quot;-&quot;??\ _₽_-;_-@_-"/>
    <numFmt numFmtId="170" formatCode="0.0000"/>
  </numFmts>
  <fonts count="1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Proxima Nova Rg"/>
      <charset val="204"/>
    </font>
    <font>
      <b/>
      <sz val="10"/>
      <name val="Proxima Nova Rg"/>
      <family val="3"/>
    </font>
    <font>
      <sz val="10"/>
      <name val="Proxima Nova Rg"/>
      <charset val="204"/>
    </font>
    <font>
      <sz val="10"/>
      <color theme="1"/>
      <name val="Proxima Nova Rg"/>
      <charset val="204"/>
    </font>
    <font>
      <i/>
      <sz val="10"/>
      <name val="Proxima Nova Rg"/>
      <charset val="204"/>
    </font>
    <font>
      <i/>
      <sz val="10"/>
      <color theme="1"/>
      <name val="Proxima Nova Rg"/>
      <charset val="204"/>
    </font>
    <font>
      <sz val="10"/>
      <color rgb="FFFF0000"/>
      <name val="Proxima Nova Rg"/>
      <family val="3"/>
    </font>
    <font>
      <b/>
      <sz val="10"/>
      <name val="Proxima Nova Rg"/>
      <charset val="204"/>
    </font>
    <font>
      <b/>
      <sz val="10"/>
      <color theme="1"/>
      <name val="Proxima Nova Rg"/>
      <charset val="204"/>
    </font>
    <font>
      <sz val="10"/>
      <name val="Proxima Nova Rg"/>
      <family val="3"/>
    </font>
    <font>
      <sz val="10"/>
      <color theme="1"/>
      <name val="Proxima Nova Rg"/>
      <family val="3"/>
    </font>
    <font>
      <b/>
      <sz val="10"/>
      <color theme="1"/>
      <name val="Proxima Nova Rg"/>
      <family val="3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4" fillId="2" borderId="0" xfId="0" applyNumberFormat="1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1" applyFont="1" applyBorder="1" applyAlignment="1">
      <alignment vertical="center" wrapText="1"/>
    </xf>
    <xf numFmtId="169" fontId="2" fillId="0" borderId="1" xfId="0" applyNumberFormat="1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43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70" fontId="4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68" fontId="2" fillId="7" borderId="1" xfId="0" applyNumberFormat="1" applyFont="1" applyFill="1" applyBorder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43" fontId="2" fillId="7" borderId="1" xfId="0" applyNumberFormat="1" applyFont="1" applyFill="1" applyBorder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horizontal="center" vertical="center" wrapText="1"/>
    </xf>
    <xf numFmtId="3" fontId="9" fillId="3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48;&#1043;_&#1056;&#1072;&#1073;&#1086;&#1090;&#1072;_\&#1040;&#1082;&#1090;&#1091;&#1072;&#1083;&#1100;&#1085;&#1099;&#1077;_&#1087;&#1088;&#1086;&#1077;&#1082;&#1090;&#1099;_&#1052;&#1048;&#1043;\&#1044;&#1088;&#1091;&#1078;&#1073;&#1072;_&#1051;&#1086;&#1089;&#1080;&#1085;&#1099;&#1081;%20&#1086;&#1089;&#1090;&#1088;&#1086;&#1074;\29_05_2026_&#1052;&#1040;&#1050;&#1089;&#1080;&#1052;&#1040;&#1051;&#1068;&#1053;&#1067;&#1045;_&#1058;&#1069;&#1055;&#1099;\&#1058;&#1069;&#1055;_&#1044;&#1088;&#1091;&#1078;&#1073;&#1072;_&#1042;&#1040;&#1056;&#1048;&#1040;&#1053;&#1058;%202(&#1084;&#1085;&#1086;&#1075;&#1086;&#1082;&#1074;&#1072;&#1088;&#1090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48;&#1043;_&#1056;&#1072;&#1073;&#1086;&#1090;&#1072;_\&#1040;&#1082;&#1090;&#1091;&#1072;&#1083;&#1100;&#1085;&#1099;&#1077;_&#1087;&#1088;&#1086;&#1077;&#1082;&#1090;&#1099;_&#1052;&#1048;&#1043;\&#1044;&#1088;&#1091;&#1078;&#1073;&#1072;_&#1051;&#1086;&#1089;&#1080;&#1085;&#1099;&#1081;%20&#1086;&#1089;&#1090;&#1088;&#1086;&#1074;\19_05_2026_&#1055;&#1077;&#1088;&#1077;&#1076;&#1072;&#1095;&#1072;%20&#1079;&#1072;&#1082;&#1072;&#1079;&#1095;&#1080;&#1082;&#1091;\&#1058;&#1069;&#1055;_&#1044;&#1088;&#1091;&#1078;&#1073;&#1072;_&#1042;&#1040;&#1056;&#1048;&#1040;&#1053;&#1058;%202(&#1040;&#1074;&#1090;&#1086;&#1084;&#1072;&#1090;&#1080;&#1095;&#1077;&#1089;&#1082;&#1080;&#1042;&#1086;&#1089;&#1089;&#1090;&#1072;&#1085;&#1086;&#1074;&#1083;&#1077;&#1085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ЭПы Страны"/>
      <sheetName val="Секции"/>
      <sheetName val="СВОД_ПОКАЗАТЕЛЕЙ"/>
      <sheetName val="Квартал 1"/>
      <sheetName val="Квартал 2"/>
      <sheetName val="Квартал 3"/>
      <sheetName val="расчет социалки"/>
      <sheetName val="расчет мм для социалки"/>
      <sheetName val="раб_места"/>
      <sheetName val="зем уч"/>
      <sheetName val="озеленение"/>
      <sheetName val="общ_объекты"/>
      <sheetName val="межевание_жилье"/>
      <sheetName val="межевание_нежилье"/>
      <sheetName val="очередность"/>
      <sheetName val="эфф исп терр"/>
      <sheetName val="баланс территории"/>
      <sheetName val="для транспорта_СТО"/>
      <sheetName val="для инженера"/>
    </sheetNames>
    <sheetDataSet>
      <sheetData sheetId="0"/>
      <sheetData sheetId="1"/>
      <sheetData sheetId="2">
        <row r="19">
          <cell r="E19">
            <v>5776.9868657142861</v>
          </cell>
        </row>
      </sheetData>
      <sheetData sheetId="3"/>
      <sheetData sheetId="4"/>
      <sheetData sheetId="5"/>
      <sheetData sheetId="6">
        <row r="7">
          <cell r="J7">
            <v>320</v>
          </cell>
        </row>
      </sheetData>
      <sheetData sheetId="7">
        <row r="9">
          <cell r="C9">
            <v>50</v>
          </cell>
        </row>
        <row r="13">
          <cell r="C13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ЭПы Страны"/>
      <sheetName val="Секции"/>
      <sheetName val="СВОД_ПОКАЗАТЕЛЕЙ"/>
      <sheetName val="Квартал 1"/>
      <sheetName val="Квартал 2"/>
      <sheetName val="Квартал 3"/>
      <sheetName val="расчет социалки"/>
      <sheetName val="расчет мм для социалки"/>
      <sheetName val="раб_места"/>
      <sheetName val="зем уч"/>
      <sheetName val="озеленение"/>
      <sheetName val="общ_объекты"/>
      <sheetName val="межевание_жилье"/>
      <sheetName val="межевание_нежилье"/>
      <sheetName val="очередность"/>
      <sheetName val="эфф исп терр"/>
      <sheetName val="баланс территории"/>
      <sheetName val="для транспорта_СТО"/>
      <sheetName val="для инженера"/>
    </sheetNames>
    <sheetDataSet>
      <sheetData sheetId="0"/>
      <sheetData sheetId="1"/>
      <sheetData sheetId="2"/>
      <sheetData sheetId="3"/>
      <sheetData sheetId="4"/>
      <sheetData sheetId="5"/>
      <sheetData sheetId="6">
        <row r="30">
          <cell r="H30">
            <v>2</v>
          </cell>
        </row>
      </sheetData>
      <sheetData sheetId="7"/>
      <sheetData sheetId="8">
        <row r="7">
          <cell r="E7">
            <v>102</v>
          </cell>
        </row>
        <row r="8">
          <cell r="E8">
            <v>579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view="pageBreakPreview" zoomScale="85" zoomScaleNormal="100" zoomScaleSheetLayoutView="85" workbookViewId="0">
      <selection activeCell="D3" sqref="D3"/>
    </sheetView>
  </sheetViews>
  <sheetFormatPr defaultColWidth="9.1796875" defaultRowHeight="14"/>
  <cols>
    <col min="1" max="1" width="5.54296875" style="3" customWidth="1"/>
    <col min="2" max="2" width="47.7265625" style="1" customWidth="1"/>
    <col min="3" max="3" width="10.54296875" style="2" customWidth="1"/>
    <col min="4" max="4" width="15.81640625" style="1" customWidth="1"/>
    <col min="5" max="5" width="61.54296875" style="1" customWidth="1"/>
    <col min="6" max="16384" width="9.1796875" style="1"/>
  </cols>
  <sheetData>
    <row r="1" spans="1:16" ht="39" customHeight="1">
      <c r="A1" s="85" t="s">
        <v>190</v>
      </c>
      <c r="B1" s="85"/>
      <c r="C1" s="85"/>
      <c r="D1" s="85"/>
      <c r="E1" s="85"/>
    </row>
    <row r="2" spans="1:16">
      <c r="C2" s="3"/>
    </row>
    <row r="3" spans="1:16" ht="28">
      <c r="A3" s="55" t="s">
        <v>186</v>
      </c>
      <c r="B3" s="55" t="s">
        <v>187</v>
      </c>
      <c r="C3" s="55" t="s">
        <v>188</v>
      </c>
      <c r="D3" s="55" t="s">
        <v>189</v>
      </c>
      <c r="E3" s="55" t="s">
        <v>18</v>
      </c>
    </row>
    <row r="4" spans="1:16" s="47" customFormat="1">
      <c r="A4" s="86" t="s">
        <v>191</v>
      </c>
      <c r="B4" s="87"/>
      <c r="C4" s="87"/>
      <c r="D4" s="87"/>
      <c r="E4" s="88"/>
    </row>
    <row r="5" spans="1:16">
      <c r="A5" s="55">
        <v>1</v>
      </c>
      <c r="B5" s="48" t="s">
        <v>131</v>
      </c>
      <c r="C5" s="49" t="s">
        <v>107</v>
      </c>
      <c r="D5" s="49">
        <v>22.89</v>
      </c>
      <c r="E5" s="48"/>
    </row>
    <row r="6" spans="1:16" ht="28">
      <c r="A6" s="79" t="s">
        <v>193</v>
      </c>
      <c r="B6" s="56" t="s">
        <v>132</v>
      </c>
      <c r="C6" s="49" t="s">
        <v>107</v>
      </c>
      <c r="D6" s="61">
        <f>D30/10000</f>
        <v>3.1429200000000002</v>
      </c>
      <c r="E6" s="48" t="s">
        <v>178</v>
      </c>
    </row>
    <row r="7" spans="1:16" ht="28">
      <c r="A7" s="55" t="s">
        <v>194</v>
      </c>
      <c r="B7" s="56" t="s">
        <v>177</v>
      </c>
      <c r="C7" s="55" t="s">
        <v>107</v>
      </c>
      <c r="D7" s="61">
        <v>1.64</v>
      </c>
      <c r="E7" s="48" t="s">
        <v>136</v>
      </c>
    </row>
    <row r="8" spans="1:16">
      <c r="A8" s="55" t="s">
        <v>195</v>
      </c>
      <c r="B8" s="56" t="s">
        <v>135</v>
      </c>
      <c r="C8" s="49" t="s">
        <v>107</v>
      </c>
      <c r="D8" s="61">
        <f>D35</f>
        <v>3.0225</v>
      </c>
      <c r="E8" s="48"/>
    </row>
    <row r="9" spans="1:16">
      <c r="A9" s="55" t="s">
        <v>196</v>
      </c>
      <c r="B9" s="56" t="s">
        <v>179</v>
      </c>
      <c r="C9" s="49" t="s">
        <v>107</v>
      </c>
      <c r="D9" s="61">
        <v>0.89</v>
      </c>
      <c r="E9" s="48" t="s">
        <v>136</v>
      </c>
      <c r="I9" s="1">
        <v>1</v>
      </c>
      <c r="J9" s="1">
        <v>2</v>
      </c>
      <c r="K9" s="1">
        <v>3</v>
      </c>
      <c r="L9" s="1">
        <v>4</v>
      </c>
      <c r="M9" s="1">
        <v>5</v>
      </c>
      <c r="N9" s="1">
        <v>14</v>
      </c>
    </row>
    <row r="10" spans="1:16">
      <c r="A10" s="55" t="s">
        <v>197</v>
      </c>
      <c r="B10" s="56" t="s">
        <v>155</v>
      </c>
      <c r="C10" s="55" t="s">
        <v>107</v>
      </c>
      <c r="D10" s="61">
        <f>D38</f>
        <v>0.3</v>
      </c>
      <c r="E10" s="48"/>
    </row>
    <row r="11" spans="1:16">
      <c r="A11" s="55" t="s">
        <v>198</v>
      </c>
      <c r="B11" s="56" t="s">
        <v>181</v>
      </c>
      <c r="C11" s="49" t="s">
        <v>107</v>
      </c>
      <c r="D11" s="61">
        <f>(D18*P11)/10000</f>
        <v>10.193061</v>
      </c>
      <c r="E11" s="48" t="s">
        <v>154</v>
      </c>
      <c r="I11" s="1">
        <v>1.71</v>
      </c>
      <c r="J11" s="1">
        <v>0.21</v>
      </c>
      <c r="K11" s="1">
        <v>0.92</v>
      </c>
      <c r="L11" s="1">
        <v>0.16</v>
      </c>
      <c r="M11" s="1">
        <v>7.0000000000000007E-2</v>
      </c>
      <c r="N11" s="1">
        <v>11.2</v>
      </c>
      <c r="P11" s="1">
        <f>I11+J11+K11+L11+M11+N11</f>
        <v>14.27</v>
      </c>
    </row>
    <row r="12" spans="1:16">
      <c r="A12" s="55" t="s">
        <v>199</v>
      </c>
      <c r="B12" s="56" t="s">
        <v>180</v>
      </c>
      <c r="C12" s="49" t="s">
        <v>107</v>
      </c>
      <c r="D12" s="61">
        <f>D33</f>
        <v>1.7669999999999999</v>
      </c>
      <c r="E12" s="48"/>
    </row>
    <row r="13" spans="1:16">
      <c r="A13" s="55" t="s">
        <v>200</v>
      </c>
      <c r="B13" s="56" t="s">
        <v>137</v>
      </c>
      <c r="C13" s="49" t="s">
        <v>107</v>
      </c>
      <c r="D13" s="59">
        <f>(D24*22.5)/10000</f>
        <v>1.0305</v>
      </c>
      <c r="E13" s="48" t="s">
        <v>138</v>
      </c>
    </row>
    <row r="14" spans="1:16" ht="28">
      <c r="A14" s="55" t="s">
        <v>201</v>
      </c>
      <c r="B14" s="56" t="s">
        <v>185</v>
      </c>
      <c r="C14" s="55" t="s">
        <v>107</v>
      </c>
      <c r="D14" s="59">
        <f>((D25-D43)*22.5)/10000</f>
        <v>1.3787369999999999</v>
      </c>
      <c r="E14" s="48" t="s">
        <v>138</v>
      </c>
    </row>
    <row r="15" spans="1:16" s="66" customFormat="1" ht="28">
      <c r="A15" s="64"/>
      <c r="B15" s="63" t="s">
        <v>153</v>
      </c>
      <c r="C15" s="64" t="s">
        <v>107</v>
      </c>
      <c r="D15" s="65">
        <f>D5-D6-D7-D8-D9-D10-D11-D12-D13-D14</f>
        <v>-0.47471800000000219</v>
      </c>
      <c r="E15" s="62" t="s">
        <v>139</v>
      </c>
    </row>
    <row r="16" spans="1:16">
      <c r="A16" s="55"/>
      <c r="B16" s="60"/>
      <c r="C16" s="55"/>
      <c r="D16" s="59"/>
      <c r="E16" s="48"/>
    </row>
    <row r="17" spans="1:12" ht="28">
      <c r="A17" s="55">
        <v>2</v>
      </c>
      <c r="B17" s="48" t="s">
        <v>1</v>
      </c>
      <c r="C17" s="49" t="s">
        <v>0</v>
      </c>
      <c r="D17" s="51">
        <v>200000</v>
      </c>
      <c r="E17" s="48"/>
    </row>
    <row r="18" spans="1:12">
      <c r="A18" s="55">
        <v>3</v>
      </c>
      <c r="B18" s="48" t="s">
        <v>3</v>
      </c>
      <c r="C18" s="49" t="s">
        <v>4</v>
      </c>
      <c r="D18" s="52">
        <f>ROUNDUP(D17/28,0.1)</f>
        <v>7143</v>
      </c>
      <c r="E18" s="48" t="s">
        <v>5</v>
      </c>
    </row>
    <row r="19" spans="1:12" s="47" customFormat="1" ht="20.25" customHeight="1">
      <c r="A19" s="84" t="s">
        <v>2</v>
      </c>
      <c r="B19" s="84"/>
      <c r="C19" s="84"/>
      <c r="D19" s="84"/>
      <c r="E19" s="53"/>
    </row>
    <row r="20" spans="1:12">
      <c r="A20" s="55">
        <v>4</v>
      </c>
      <c r="B20" s="48" t="s">
        <v>108</v>
      </c>
      <c r="C20" s="49" t="s">
        <v>21</v>
      </c>
      <c r="D20" s="54">
        <f>D18*65/1000</f>
        <v>464.29500000000002</v>
      </c>
      <c r="E20" s="48" t="s">
        <v>22</v>
      </c>
    </row>
    <row r="21" spans="1:12">
      <c r="A21" s="55">
        <v>5</v>
      </c>
      <c r="B21" s="48" t="s">
        <v>124</v>
      </c>
      <c r="C21" s="49" t="s">
        <v>21</v>
      </c>
      <c r="D21" s="54">
        <f>D18*135/1000</f>
        <v>964.30499999999995</v>
      </c>
      <c r="E21" s="48" t="s">
        <v>26</v>
      </c>
    </row>
    <row r="22" spans="1:12" ht="28">
      <c r="A22" s="55">
        <v>6</v>
      </c>
      <c r="B22" s="48" t="s">
        <v>112</v>
      </c>
      <c r="C22" s="49" t="s">
        <v>35</v>
      </c>
      <c r="D22" s="54">
        <f>D18*17.75/1000</f>
        <v>126.78825000000001</v>
      </c>
      <c r="E22" s="48" t="s">
        <v>36</v>
      </c>
    </row>
    <row r="23" spans="1:12">
      <c r="A23" s="55">
        <v>7</v>
      </c>
      <c r="B23" s="48" t="s">
        <v>109</v>
      </c>
      <c r="C23" s="49" t="s">
        <v>113</v>
      </c>
      <c r="D23" s="52">
        <f>ROUNDUP(D18*0.356*0.9,0.1)</f>
        <v>2289</v>
      </c>
      <c r="E23" s="48" t="s">
        <v>114</v>
      </c>
      <c r="K23" s="1">
        <f>8900*0.6</f>
        <v>5340</v>
      </c>
      <c r="L23" s="1">
        <f>K23*5</f>
        <v>26700</v>
      </c>
    </row>
    <row r="24" spans="1:12">
      <c r="A24" s="55">
        <v>8</v>
      </c>
      <c r="B24" s="48" t="s">
        <v>111</v>
      </c>
      <c r="C24" s="49" t="s">
        <v>113</v>
      </c>
      <c r="D24" s="52">
        <f>ROUNDUP(D18*0.356*0.18,0.1)</f>
        <v>458</v>
      </c>
      <c r="E24" s="48" t="s">
        <v>115</v>
      </c>
    </row>
    <row r="25" spans="1:12">
      <c r="A25" s="55">
        <v>9</v>
      </c>
      <c r="B25" s="48" t="s">
        <v>173</v>
      </c>
      <c r="C25" s="55" t="s">
        <v>113</v>
      </c>
      <c r="D25" s="52">
        <f>м_м!E5</f>
        <v>1046.7719999999999</v>
      </c>
      <c r="E25" s="48"/>
    </row>
    <row r="26" spans="1:12">
      <c r="A26" s="55">
        <v>10</v>
      </c>
      <c r="B26" s="48" t="s">
        <v>110</v>
      </c>
      <c r="C26" s="49" t="s">
        <v>42</v>
      </c>
      <c r="D26" s="52">
        <f>D18*0.5</f>
        <v>3571.5</v>
      </c>
      <c r="E26" s="48" t="s">
        <v>116</v>
      </c>
    </row>
    <row r="27" spans="1:12" ht="49.5" customHeight="1">
      <c r="A27" s="81">
        <v>11</v>
      </c>
      <c r="B27" s="89" t="s">
        <v>120</v>
      </c>
      <c r="C27" s="80" t="s">
        <v>117</v>
      </c>
      <c r="D27" s="80"/>
      <c r="E27" s="80"/>
    </row>
    <row r="28" spans="1:12" ht="60" customHeight="1">
      <c r="A28" s="83"/>
      <c r="B28" s="89"/>
      <c r="C28" s="80" t="s">
        <v>118</v>
      </c>
      <c r="D28" s="80"/>
      <c r="E28" s="80"/>
    </row>
    <row r="29" spans="1:12" ht="28">
      <c r="A29" s="55">
        <v>12</v>
      </c>
      <c r="B29" s="48" t="s">
        <v>122</v>
      </c>
      <c r="C29" s="49" t="s">
        <v>0</v>
      </c>
      <c r="D29" s="54">
        <f>D18*6.5</f>
        <v>46429.5</v>
      </c>
      <c r="E29" s="48" t="s">
        <v>119</v>
      </c>
    </row>
    <row r="30" spans="1:12" ht="42">
      <c r="A30" s="55">
        <v>13</v>
      </c>
      <c r="B30" s="48" t="s">
        <v>176</v>
      </c>
      <c r="C30" s="49" t="s">
        <v>0</v>
      </c>
      <c r="D30" s="54">
        <f>D18*4.4</f>
        <v>31429.200000000001</v>
      </c>
      <c r="E30" s="48" t="s">
        <v>121</v>
      </c>
    </row>
    <row r="31" spans="1:12" s="47" customFormat="1" ht="18.75" customHeight="1">
      <c r="A31" s="84" t="s">
        <v>123</v>
      </c>
      <c r="B31" s="84"/>
      <c r="C31" s="84"/>
      <c r="D31" s="84"/>
      <c r="E31" s="53"/>
    </row>
    <row r="32" spans="1:12" ht="22.5" customHeight="1">
      <c r="A32" s="81">
        <v>14</v>
      </c>
      <c r="B32" s="80" t="s">
        <v>20</v>
      </c>
      <c r="C32" s="49" t="s">
        <v>21</v>
      </c>
      <c r="D32" s="54">
        <f>ROUNDUP(D20,0.1)</f>
        <v>465</v>
      </c>
      <c r="E32" s="48"/>
    </row>
    <row r="33" spans="1:5" ht="47.25" customHeight="1">
      <c r="A33" s="83"/>
      <c r="B33" s="80"/>
      <c r="C33" s="49" t="s">
        <v>126</v>
      </c>
      <c r="D33" s="54">
        <f>D32*38/10000</f>
        <v>1.7669999999999999</v>
      </c>
      <c r="E33" s="48" t="s">
        <v>125</v>
      </c>
    </row>
    <row r="34" spans="1:5">
      <c r="A34" s="81">
        <v>15</v>
      </c>
      <c r="B34" s="80" t="s">
        <v>127</v>
      </c>
      <c r="C34" s="49" t="s">
        <v>21</v>
      </c>
      <c r="D34" s="54">
        <f>39*25</f>
        <v>975</v>
      </c>
      <c r="E34" s="48" t="s">
        <v>128</v>
      </c>
    </row>
    <row r="35" spans="1:5" ht="42">
      <c r="A35" s="83"/>
      <c r="B35" s="80"/>
      <c r="C35" s="49" t="s">
        <v>126</v>
      </c>
      <c r="D35" s="54">
        <f>D34*31/10000</f>
        <v>3.0225</v>
      </c>
      <c r="E35" s="48" t="s">
        <v>129</v>
      </c>
    </row>
    <row r="36" spans="1:5">
      <c r="A36" s="55">
        <v>16</v>
      </c>
      <c r="B36" s="49" t="s">
        <v>192</v>
      </c>
      <c r="C36" s="49" t="s">
        <v>0</v>
      </c>
      <c r="D36" s="54">
        <f>D23*35</f>
        <v>80115</v>
      </c>
      <c r="E36" s="48" t="s">
        <v>133</v>
      </c>
    </row>
    <row r="37" spans="1:5" ht="28">
      <c r="A37" s="81">
        <v>17</v>
      </c>
      <c r="B37" s="81" t="s">
        <v>134</v>
      </c>
      <c r="C37" s="49" t="s">
        <v>35</v>
      </c>
      <c r="D37" s="54">
        <f>ROUNDUP(D22,0.1)</f>
        <v>127</v>
      </c>
      <c r="E37" s="48"/>
    </row>
    <row r="38" spans="1:5" ht="42">
      <c r="A38" s="83"/>
      <c r="B38" s="83"/>
      <c r="C38" s="49" t="s">
        <v>126</v>
      </c>
      <c r="D38" s="54">
        <v>0.3</v>
      </c>
      <c r="E38" s="48"/>
    </row>
    <row r="39" spans="1:5" ht="28">
      <c r="A39" s="55">
        <v>18</v>
      </c>
      <c r="B39" s="58" t="s">
        <v>157</v>
      </c>
      <c r="C39" s="55" t="s">
        <v>0</v>
      </c>
      <c r="D39" s="54">
        <f>соц!I33</f>
        <v>20718.928000000004</v>
      </c>
      <c r="E39" s="48"/>
    </row>
    <row r="40" spans="1:5" ht="28">
      <c r="A40" s="55">
        <v>19</v>
      </c>
      <c r="B40" s="58" t="s">
        <v>174</v>
      </c>
      <c r="C40" s="55" t="s">
        <v>0</v>
      </c>
      <c r="D40" s="54">
        <f>'раб места'!D17</f>
        <v>21700</v>
      </c>
      <c r="E40" s="48"/>
    </row>
    <row r="41" spans="1:5" ht="42">
      <c r="A41" s="81">
        <v>20</v>
      </c>
      <c r="B41" s="81" t="s">
        <v>182</v>
      </c>
      <c r="C41" s="55" t="s">
        <v>49</v>
      </c>
      <c r="D41" s="54">
        <f>(D9*10000)*0.6*5*0.8</f>
        <v>21360</v>
      </c>
      <c r="E41" s="48" t="s">
        <v>175</v>
      </c>
    </row>
    <row r="42" spans="1:5" ht="42">
      <c r="A42" s="82"/>
      <c r="B42" s="82"/>
      <c r="C42" s="55" t="s">
        <v>183</v>
      </c>
      <c r="D42" s="54">
        <f>D43*35</f>
        <v>15190</v>
      </c>
      <c r="E42" s="48" t="s">
        <v>184</v>
      </c>
    </row>
    <row r="43" spans="1:5">
      <c r="A43" s="83"/>
      <c r="B43" s="83"/>
      <c r="C43" s="55" t="s">
        <v>113</v>
      </c>
      <c r="D43" s="54">
        <f>м_м!E14</f>
        <v>434</v>
      </c>
      <c r="E43" s="48"/>
    </row>
    <row r="44" spans="1:5" s="47" customFormat="1">
      <c r="A44" s="84" t="s">
        <v>130</v>
      </c>
      <c r="B44" s="84"/>
      <c r="C44" s="84"/>
      <c r="D44" s="84"/>
      <c r="E44" s="53"/>
    </row>
    <row r="45" spans="1:5">
      <c r="A45" s="55" t="s">
        <v>202</v>
      </c>
      <c r="B45" s="48" t="s">
        <v>27</v>
      </c>
      <c r="C45" s="49" t="s">
        <v>28</v>
      </c>
      <c r="D45" s="50">
        <f>соц!F11</f>
        <v>42.858000000000004</v>
      </c>
      <c r="E45" s="9" t="s">
        <v>29</v>
      </c>
    </row>
    <row r="46" spans="1:5">
      <c r="A46" s="55" t="s">
        <v>203</v>
      </c>
      <c r="B46" s="48" t="s">
        <v>31</v>
      </c>
      <c r="C46" s="49" t="s">
        <v>32</v>
      </c>
      <c r="D46" s="50">
        <f>соц!F12</f>
        <v>0.71430000000000005</v>
      </c>
      <c r="E46" s="9" t="s">
        <v>33</v>
      </c>
    </row>
    <row r="47" spans="1:5">
      <c r="A47" s="55" t="s">
        <v>204</v>
      </c>
      <c r="B47" s="48" t="s">
        <v>73</v>
      </c>
      <c r="C47" s="49" t="s">
        <v>32</v>
      </c>
      <c r="D47" s="50">
        <f>соц!F31</f>
        <v>1.4286000000000001</v>
      </c>
      <c r="E47" s="9" t="s">
        <v>74</v>
      </c>
    </row>
    <row r="51" spans="1:5">
      <c r="A51" s="55"/>
      <c r="B51" s="80" t="s">
        <v>140</v>
      </c>
      <c r="C51" s="80"/>
      <c r="D51" s="80"/>
      <c r="E51" s="80"/>
    </row>
    <row r="52" spans="1:5">
      <c r="A52" s="55"/>
      <c r="B52" s="48"/>
      <c r="C52" s="55"/>
      <c r="D52" s="48"/>
      <c r="E52" s="48"/>
    </row>
    <row r="53" spans="1:5">
      <c r="A53" s="55">
        <v>1</v>
      </c>
      <c r="B53" s="48" t="s">
        <v>141</v>
      </c>
      <c r="C53" s="55" t="s">
        <v>52</v>
      </c>
      <c r="D53" s="67">
        <f>D17</f>
        <v>200000</v>
      </c>
      <c r="E53" s="48"/>
    </row>
    <row r="54" spans="1:5">
      <c r="A54" s="55">
        <v>2</v>
      </c>
      <c r="B54" s="48" t="s">
        <v>142</v>
      </c>
      <c r="C54" s="55" t="s">
        <v>52</v>
      </c>
      <c r="D54" s="54">
        <f>D53/0.6351</f>
        <v>314911.03763186903</v>
      </c>
      <c r="E54" s="48" t="s">
        <v>143</v>
      </c>
    </row>
    <row r="55" spans="1:5">
      <c r="A55" s="55">
        <v>3</v>
      </c>
      <c r="B55" s="48" t="s">
        <v>144</v>
      </c>
      <c r="C55" s="55" t="s">
        <v>52</v>
      </c>
      <c r="D55" s="54">
        <v>24363.5</v>
      </c>
      <c r="E55" s="48" t="s">
        <v>145</v>
      </c>
    </row>
    <row r="56" spans="1:5">
      <c r="A56" s="55">
        <v>4</v>
      </c>
      <c r="B56" s="48" t="s">
        <v>146</v>
      </c>
      <c r="C56" s="55" t="s">
        <v>147</v>
      </c>
      <c r="D56" s="48">
        <f>D54/D55</f>
        <v>12.92552538148743</v>
      </c>
      <c r="E56" s="48"/>
    </row>
    <row r="57" spans="1:5">
      <c r="A57" s="55">
        <v>5</v>
      </c>
      <c r="B57" s="48" t="s">
        <v>149</v>
      </c>
      <c r="C57" s="55" t="s">
        <v>107</v>
      </c>
      <c r="D57" s="54">
        <f>D54/17600</f>
        <v>17.89267259271983</v>
      </c>
      <c r="E57" s="48" t="s">
        <v>148</v>
      </c>
    </row>
    <row r="58" spans="1:5">
      <c r="A58" s="55">
        <v>6</v>
      </c>
      <c r="B58" s="48" t="s">
        <v>150</v>
      </c>
      <c r="C58" s="55" t="s">
        <v>113</v>
      </c>
      <c r="D58" s="52">
        <f>D23*0.4</f>
        <v>915.6</v>
      </c>
      <c r="E58" s="48"/>
    </row>
    <row r="59" spans="1:5">
      <c r="A59" s="55">
        <v>7</v>
      </c>
      <c r="B59" s="48" t="s">
        <v>151</v>
      </c>
      <c r="C59" s="55" t="s">
        <v>107</v>
      </c>
      <c r="D59" s="54">
        <f>(D58*22.5)/10000</f>
        <v>2.0600999999999998</v>
      </c>
      <c r="E59" s="48"/>
    </row>
    <row r="60" spans="1:5">
      <c r="A60" s="55">
        <v>8</v>
      </c>
      <c r="B60" s="62" t="s">
        <v>152</v>
      </c>
      <c r="C60" s="64" t="s">
        <v>107</v>
      </c>
      <c r="D60" s="68">
        <f>D57-D59</f>
        <v>15.83257259271983</v>
      </c>
      <c r="E60" s="62"/>
    </row>
    <row r="61" spans="1:5">
      <c r="B61" s="48"/>
      <c r="C61" s="55"/>
      <c r="D61" s="48"/>
      <c r="E61" s="48"/>
    </row>
  </sheetData>
  <mergeCells count="18">
    <mergeCell ref="A1:E1"/>
    <mergeCell ref="A4:E4"/>
    <mergeCell ref="A27:A28"/>
    <mergeCell ref="A32:A33"/>
    <mergeCell ref="A34:A35"/>
    <mergeCell ref="A19:D19"/>
    <mergeCell ref="C27:E27"/>
    <mergeCell ref="C28:E28"/>
    <mergeCell ref="B27:B28"/>
    <mergeCell ref="B51:E51"/>
    <mergeCell ref="B41:B43"/>
    <mergeCell ref="A37:A38"/>
    <mergeCell ref="A41:A43"/>
    <mergeCell ref="A31:D31"/>
    <mergeCell ref="B32:B33"/>
    <mergeCell ref="B34:B35"/>
    <mergeCell ref="A44:D44"/>
    <mergeCell ref="B37:B38"/>
  </mergeCells>
  <pageMargins left="0.23622047244094491" right="0.23622047244094491" top="0.74803149606299213" bottom="0.74803149606299213" header="0.31496062992125984" footer="0.31496062992125984"/>
  <pageSetup paperSize="9" orientation="landscape" r:id="rId1"/>
  <rowBreaks count="1" manualBreakCount="1">
    <brk id="5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E36" sqref="E36"/>
    </sheetView>
  </sheetViews>
  <sheetFormatPr defaultColWidth="9.1796875" defaultRowHeight="12.5"/>
  <cols>
    <col min="1" max="1" width="3.54296875" style="5" customWidth="1"/>
    <col min="2" max="2" width="8.1796875" style="5" hidden="1" customWidth="1"/>
    <col min="3" max="3" width="26.26953125" style="7" customWidth="1"/>
    <col min="4" max="4" width="13.54296875" style="5" customWidth="1"/>
    <col min="5" max="5" width="27.453125" style="5" customWidth="1"/>
    <col min="6" max="7" width="11.26953125" style="5" customWidth="1"/>
    <col min="8" max="8" width="10.453125" style="5" customWidth="1"/>
    <col min="9" max="9" width="11.81640625" style="5" customWidth="1"/>
    <col min="10" max="10" width="12.54296875" style="5" customWidth="1"/>
    <col min="11" max="11" width="13.26953125" style="5" hidden="1" customWidth="1"/>
    <col min="12" max="12" width="49.54296875" style="7" hidden="1" customWidth="1"/>
    <col min="13" max="13" width="11.54296875" style="5" customWidth="1"/>
    <col min="14" max="14" width="14.1796875" style="5" customWidth="1"/>
    <col min="15" max="15" width="11" style="5" customWidth="1"/>
    <col min="16" max="16" width="9.1796875" style="5"/>
    <col min="17" max="17" width="11.81640625" style="5" bestFit="1" customWidth="1"/>
    <col min="18" max="16384" width="9.1796875" style="6"/>
  </cols>
  <sheetData>
    <row r="1" spans="1:17" ht="13.5">
      <c r="A1" s="102" t="s">
        <v>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4"/>
    </row>
    <row r="2" spans="1:17" hidden="1">
      <c r="A2" s="4"/>
      <c r="B2" s="4"/>
      <c r="D2" s="4"/>
      <c r="E2" s="4"/>
      <c r="F2" s="4"/>
      <c r="G2" s="4"/>
      <c r="H2" s="4"/>
      <c r="I2" s="4"/>
      <c r="J2" s="4"/>
      <c r="K2" s="4" t="s">
        <v>7</v>
      </c>
      <c r="L2" s="8">
        <f>'расчет_200 тыс кв'!D18</f>
        <v>7143</v>
      </c>
      <c r="M2" s="4"/>
    </row>
    <row r="3" spans="1:17" hidden="1">
      <c r="L3" s="5" t="s">
        <v>8</v>
      </c>
      <c r="M3" s="4"/>
    </row>
    <row r="4" spans="1:17" ht="24.75" customHeight="1">
      <c r="A4" s="96" t="s">
        <v>9</v>
      </c>
      <c r="B4" s="9" t="s">
        <v>10</v>
      </c>
      <c r="C4" s="95" t="s">
        <v>11</v>
      </c>
      <c r="D4" s="96" t="s">
        <v>12</v>
      </c>
      <c r="E4" s="96" t="s">
        <v>13</v>
      </c>
      <c r="F4" s="96" t="s">
        <v>14</v>
      </c>
      <c r="G4" s="96"/>
      <c r="H4" s="96" t="s">
        <v>15</v>
      </c>
      <c r="I4" s="96"/>
      <c r="J4" s="96" t="s">
        <v>16</v>
      </c>
      <c r="K4" s="96" t="s">
        <v>17</v>
      </c>
      <c r="L4" s="96" t="s">
        <v>18</v>
      </c>
    </row>
    <row r="5" spans="1:17" ht="13.5" customHeight="1">
      <c r="A5" s="96"/>
      <c r="B5" s="9"/>
      <c r="C5" s="95"/>
      <c r="D5" s="96"/>
      <c r="E5" s="96"/>
      <c r="F5" s="9" t="s">
        <v>19</v>
      </c>
      <c r="G5" s="9" t="s">
        <v>205</v>
      </c>
      <c r="H5" s="9" t="s">
        <v>19</v>
      </c>
      <c r="I5" s="9" t="s">
        <v>206</v>
      </c>
      <c r="J5" s="96"/>
      <c r="K5" s="96"/>
      <c r="L5" s="96"/>
    </row>
    <row r="6" spans="1:17" s="13" customFormat="1" ht="13">
      <c r="A6" s="10">
        <v>1</v>
      </c>
      <c r="B6" s="10">
        <v>2</v>
      </c>
      <c r="C6" s="11">
        <v>2</v>
      </c>
      <c r="D6" s="10">
        <v>3</v>
      </c>
      <c r="E6" s="10">
        <v>4</v>
      </c>
      <c r="F6" s="10">
        <v>5</v>
      </c>
      <c r="G6" s="10">
        <v>6</v>
      </c>
      <c r="H6" s="10">
        <v>7</v>
      </c>
      <c r="I6" s="10">
        <v>8</v>
      </c>
      <c r="J6" s="10">
        <v>9</v>
      </c>
      <c r="K6" s="10">
        <v>10</v>
      </c>
      <c r="L6" s="10">
        <v>11</v>
      </c>
      <c r="M6" s="12"/>
      <c r="N6" s="12"/>
      <c r="O6" s="12"/>
      <c r="P6" s="12"/>
      <c r="Q6" s="12"/>
    </row>
    <row r="7" spans="1:17">
      <c r="A7" s="96">
        <v>1</v>
      </c>
      <c r="B7" s="9"/>
      <c r="C7" s="95" t="s">
        <v>20</v>
      </c>
      <c r="D7" s="9" t="s">
        <v>21</v>
      </c>
      <c r="E7" s="9" t="s">
        <v>22</v>
      </c>
      <c r="F7" s="14">
        <f>L2*0.065</f>
        <v>464.29500000000002</v>
      </c>
      <c r="G7" s="9"/>
      <c r="H7" s="9"/>
      <c r="I7" s="9"/>
      <c r="J7" s="9"/>
      <c r="K7" s="15"/>
      <c r="L7" s="16"/>
    </row>
    <row r="8" spans="1:17">
      <c r="A8" s="96"/>
      <c r="B8" s="9"/>
      <c r="C8" s="95"/>
      <c r="D8" s="9" t="s">
        <v>23</v>
      </c>
      <c r="E8" s="9" t="s">
        <v>24</v>
      </c>
      <c r="F8" s="14"/>
      <c r="G8" s="9"/>
      <c r="H8" s="9"/>
      <c r="I8" s="9"/>
      <c r="J8" s="9"/>
      <c r="K8" s="15"/>
      <c r="L8" s="16"/>
    </row>
    <row r="9" spans="1:17">
      <c r="A9" s="96">
        <v>2</v>
      </c>
      <c r="B9" s="9"/>
      <c r="C9" s="95" t="s">
        <v>25</v>
      </c>
      <c r="D9" s="9" t="s">
        <v>21</v>
      </c>
      <c r="E9" s="9" t="s">
        <v>26</v>
      </c>
      <c r="F9" s="14">
        <f>L2*0.135</f>
        <v>964.30500000000006</v>
      </c>
      <c r="G9" s="9"/>
      <c r="H9" s="9"/>
      <c r="I9" s="9"/>
      <c r="J9" s="9"/>
      <c r="K9" s="15"/>
      <c r="L9" s="16"/>
      <c r="O9" s="57">
        <f>F9*0.12</f>
        <v>115.7166</v>
      </c>
    </row>
    <row r="10" spans="1:17">
      <c r="A10" s="96"/>
      <c r="B10" s="9"/>
      <c r="C10" s="95"/>
      <c r="D10" s="9" t="s">
        <v>23</v>
      </c>
      <c r="E10" s="9" t="s">
        <v>24</v>
      </c>
      <c r="F10" s="14"/>
      <c r="G10" s="9"/>
      <c r="H10" s="9"/>
      <c r="I10" s="9"/>
      <c r="J10" s="9"/>
      <c r="K10" s="15"/>
      <c r="L10" s="16"/>
    </row>
    <row r="11" spans="1:17">
      <c r="A11" s="9">
        <v>3</v>
      </c>
      <c r="B11" s="9"/>
      <c r="C11" s="16" t="s">
        <v>27</v>
      </c>
      <c r="D11" s="9" t="s">
        <v>28</v>
      </c>
      <c r="E11" s="9" t="s">
        <v>29</v>
      </c>
      <c r="F11" s="14">
        <f>L2*0.006</f>
        <v>42.858000000000004</v>
      </c>
      <c r="G11" s="9"/>
      <c r="H11" s="9"/>
      <c r="I11" s="9"/>
      <c r="J11" s="9"/>
      <c r="K11" s="15"/>
      <c r="L11" s="16"/>
    </row>
    <row r="12" spans="1:17">
      <c r="A12" s="9">
        <v>4</v>
      </c>
      <c r="B12" s="9"/>
      <c r="C12" s="16" t="s">
        <v>31</v>
      </c>
      <c r="D12" s="9" t="s">
        <v>32</v>
      </c>
      <c r="E12" s="9" t="s">
        <v>33</v>
      </c>
      <c r="F12" s="14">
        <f>L2*0.0001</f>
        <v>0.71430000000000005</v>
      </c>
      <c r="G12" s="9"/>
      <c r="H12" s="9"/>
      <c r="I12" s="9"/>
      <c r="J12" s="9"/>
      <c r="K12" s="15"/>
      <c r="L12" s="16"/>
    </row>
    <row r="13" spans="1:17">
      <c r="A13" s="96">
        <v>12</v>
      </c>
      <c r="B13" s="96"/>
      <c r="C13" s="95" t="s">
        <v>34</v>
      </c>
      <c r="D13" s="96" t="s">
        <v>35</v>
      </c>
      <c r="E13" s="96" t="s">
        <v>36</v>
      </c>
      <c r="F13" s="101">
        <f>L2*0.01775</f>
        <v>126.78824999999999</v>
      </c>
      <c r="G13" s="96"/>
      <c r="H13" s="96"/>
      <c r="I13" s="98"/>
      <c r="J13" s="99"/>
      <c r="K13" s="100"/>
      <c r="L13" s="16"/>
    </row>
    <row r="14" spans="1:17">
      <c r="A14" s="96"/>
      <c r="B14" s="96"/>
      <c r="C14" s="95"/>
      <c r="D14" s="96"/>
      <c r="E14" s="96"/>
      <c r="F14" s="101"/>
      <c r="G14" s="96"/>
      <c r="H14" s="96"/>
      <c r="I14" s="98"/>
      <c r="J14" s="99"/>
      <c r="K14" s="100"/>
      <c r="L14" s="16"/>
    </row>
    <row r="15" spans="1:17" s="18" customFormat="1" ht="13">
      <c r="A15" s="96">
        <v>5</v>
      </c>
      <c r="B15" s="9"/>
      <c r="C15" s="16" t="s">
        <v>37</v>
      </c>
      <c r="D15" s="9" t="s">
        <v>87</v>
      </c>
      <c r="E15" s="9" t="s">
        <v>38</v>
      </c>
      <c r="F15" s="14">
        <f>L2*1.53</f>
        <v>10928.79</v>
      </c>
      <c r="G15" s="14">
        <f>F15*1.3</f>
        <v>14207.427000000001</v>
      </c>
      <c r="H15" s="17"/>
      <c r="I15" s="14">
        <f>G15-J16</f>
        <v>11417.427000000001</v>
      </c>
      <c r="J15" s="17"/>
      <c r="K15" s="9"/>
      <c r="L15" s="16"/>
      <c r="O15" s="19"/>
    </row>
    <row r="16" spans="1:17" s="18" customFormat="1" ht="13">
      <c r="A16" s="96"/>
      <c r="B16" s="9"/>
      <c r="C16" s="16" t="s">
        <v>39</v>
      </c>
      <c r="D16" s="9" t="s">
        <v>87</v>
      </c>
      <c r="E16" s="9" t="s">
        <v>40</v>
      </c>
      <c r="F16" s="14">
        <f>L2*0.3</f>
        <v>2142.9</v>
      </c>
      <c r="G16" s="14">
        <f>F16*1.3</f>
        <v>2785.7700000000004</v>
      </c>
      <c r="H16" s="17"/>
      <c r="J16" s="17">
        <v>2790</v>
      </c>
      <c r="K16" s="9"/>
      <c r="L16" s="16"/>
      <c r="N16" s="20"/>
      <c r="O16" s="20"/>
    </row>
    <row r="17" spans="1:15">
      <c r="A17" s="96">
        <v>6</v>
      </c>
      <c r="B17" s="9"/>
      <c r="C17" s="95" t="s">
        <v>41</v>
      </c>
      <c r="D17" s="9" t="s">
        <v>42</v>
      </c>
      <c r="E17" s="9" t="s">
        <v>43</v>
      </c>
      <c r="F17" s="97">
        <f>L2*0.0109</f>
        <v>77.858699999999999</v>
      </c>
      <c r="G17" s="97">
        <f>F17*30</f>
        <v>2335.761</v>
      </c>
      <c r="H17" s="98">
        <v>78</v>
      </c>
      <c r="I17" s="98">
        <f>H17*30</f>
        <v>2340</v>
      </c>
      <c r="J17" s="98"/>
      <c r="K17" s="15"/>
      <c r="L17" s="95"/>
    </row>
    <row r="18" spans="1:15">
      <c r="A18" s="96"/>
      <c r="B18" s="9"/>
      <c r="C18" s="95"/>
      <c r="D18" s="9" t="s">
        <v>44</v>
      </c>
      <c r="E18" s="9" t="s">
        <v>45</v>
      </c>
      <c r="F18" s="97"/>
      <c r="G18" s="97"/>
      <c r="H18" s="98"/>
      <c r="I18" s="98"/>
      <c r="J18" s="98"/>
      <c r="K18" s="15"/>
      <c r="L18" s="95"/>
    </row>
    <row r="19" spans="1:15">
      <c r="A19" s="96">
        <v>7</v>
      </c>
      <c r="B19" s="9"/>
      <c r="C19" s="95" t="s">
        <v>46</v>
      </c>
      <c r="D19" s="9" t="s">
        <v>47</v>
      </c>
      <c r="E19" s="9" t="s">
        <v>48</v>
      </c>
      <c r="F19" s="97">
        <f>L2*0.04</f>
        <v>285.72000000000003</v>
      </c>
      <c r="G19" s="97">
        <f>F19*6</f>
        <v>1714.3200000000002</v>
      </c>
      <c r="H19" s="98">
        <v>286</v>
      </c>
      <c r="I19" s="98">
        <f>H19*6</f>
        <v>1716</v>
      </c>
      <c r="J19" s="98"/>
      <c r="K19" s="15"/>
      <c r="L19" s="95"/>
    </row>
    <row r="20" spans="1:15">
      <c r="A20" s="96"/>
      <c r="B20" s="9"/>
      <c r="C20" s="95"/>
      <c r="D20" s="9" t="s">
        <v>49</v>
      </c>
      <c r="E20" s="9" t="s">
        <v>50</v>
      </c>
      <c r="F20" s="97"/>
      <c r="G20" s="97"/>
      <c r="H20" s="98"/>
      <c r="I20" s="98"/>
      <c r="J20" s="98"/>
      <c r="K20" s="15"/>
      <c r="L20" s="95"/>
    </row>
    <row r="21" spans="1:15">
      <c r="A21" s="9">
        <v>8</v>
      </c>
      <c r="B21" s="9"/>
      <c r="C21" s="16" t="s">
        <v>51</v>
      </c>
      <c r="D21" s="9" t="s">
        <v>52</v>
      </c>
      <c r="E21" s="9" t="s">
        <v>53</v>
      </c>
      <c r="F21" s="14">
        <f>L2*0.106</f>
        <v>757.15800000000002</v>
      </c>
      <c r="G21" s="9"/>
      <c r="H21" s="17"/>
      <c r="I21" s="9">
        <v>988</v>
      </c>
      <c r="J21" s="17"/>
      <c r="K21" s="9"/>
      <c r="L21" s="16"/>
    </row>
    <row r="22" spans="1:15" ht="25">
      <c r="A22" s="9">
        <v>9</v>
      </c>
      <c r="B22" s="9"/>
      <c r="C22" s="16" t="s">
        <v>54</v>
      </c>
      <c r="D22" s="9" t="s">
        <v>55</v>
      </c>
      <c r="E22" s="9" t="s">
        <v>56</v>
      </c>
      <c r="F22" s="14">
        <f>L2*0.00996</f>
        <v>71.144279999999995</v>
      </c>
      <c r="G22" s="14"/>
      <c r="H22" s="17">
        <v>75</v>
      </c>
      <c r="I22" s="17">
        <f>H22*1.5</f>
        <v>112.5</v>
      </c>
      <c r="J22" s="17"/>
      <c r="K22" s="15"/>
      <c r="L22" s="16"/>
      <c r="O22" s="69">
        <f>1100-I22</f>
        <v>987.5</v>
      </c>
    </row>
    <row r="23" spans="1:15" ht="25">
      <c r="A23" s="9">
        <v>10</v>
      </c>
      <c r="B23" s="9"/>
      <c r="C23" s="16" t="s">
        <v>57</v>
      </c>
      <c r="D23" s="9" t="s">
        <v>52</v>
      </c>
      <c r="E23" s="9" t="s">
        <v>207</v>
      </c>
      <c r="F23" s="97">
        <f>L2*0.9483</f>
        <v>6773.7069000000001</v>
      </c>
      <c r="G23" s="97"/>
      <c r="H23" s="96"/>
      <c r="I23" s="96"/>
      <c r="J23" s="14"/>
      <c r="K23" s="15"/>
      <c r="L23" s="16"/>
    </row>
    <row r="24" spans="1:15">
      <c r="A24" s="96">
        <v>11</v>
      </c>
      <c r="B24" s="9"/>
      <c r="C24" s="16" t="s">
        <v>58</v>
      </c>
      <c r="D24" s="9" t="s">
        <v>52</v>
      </c>
      <c r="E24" s="9" t="s">
        <v>59</v>
      </c>
      <c r="F24" s="14"/>
      <c r="G24" s="14">
        <f>L2*0.15</f>
        <v>1071.45</v>
      </c>
      <c r="H24" s="17"/>
      <c r="I24" s="98">
        <v>1200</v>
      </c>
      <c r="J24" s="17"/>
      <c r="K24" s="9"/>
      <c r="L24" s="16"/>
    </row>
    <row r="25" spans="1:15">
      <c r="A25" s="96"/>
      <c r="B25" s="9"/>
      <c r="C25" s="16" t="s">
        <v>60</v>
      </c>
      <c r="D25" s="9" t="s">
        <v>12</v>
      </c>
      <c r="E25" s="9" t="s">
        <v>61</v>
      </c>
      <c r="F25" s="97" t="s">
        <v>61</v>
      </c>
      <c r="G25" s="97"/>
      <c r="H25" s="17"/>
      <c r="I25" s="98"/>
      <c r="J25" s="17"/>
      <c r="K25" s="9"/>
      <c r="L25" s="16"/>
    </row>
    <row r="26" spans="1:15">
      <c r="A26" s="96"/>
      <c r="B26" s="9"/>
      <c r="C26" s="16" t="s">
        <v>62</v>
      </c>
      <c r="D26" s="9" t="s">
        <v>63</v>
      </c>
      <c r="E26" s="9" t="s">
        <v>64</v>
      </c>
      <c r="F26" s="14">
        <f>116*0.12</f>
        <v>13.92</v>
      </c>
      <c r="G26" s="14">
        <f>F26*5</f>
        <v>69.599999999999994</v>
      </c>
      <c r="H26" s="17"/>
      <c r="I26" s="98"/>
      <c r="J26" s="17"/>
      <c r="K26" s="9"/>
      <c r="L26" s="16"/>
    </row>
    <row r="27" spans="1:15" ht="25">
      <c r="A27" s="96"/>
      <c r="B27" s="9"/>
      <c r="C27" s="16" t="s">
        <v>65</v>
      </c>
      <c r="D27" s="9" t="s">
        <v>52</v>
      </c>
      <c r="E27" s="9" t="s">
        <v>66</v>
      </c>
      <c r="F27" s="14"/>
      <c r="G27" s="14">
        <f>4*L2/1000</f>
        <v>28.571999999999999</v>
      </c>
      <c r="H27" s="17"/>
      <c r="I27" s="98"/>
      <c r="J27" s="17"/>
      <c r="K27" s="9"/>
      <c r="L27" s="16"/>
    </row>
    <row r="28" spans="1:15">
      <c r="A28" s="9">
        <v>14</v>
      </c>
      <c r="B28" s="9"/>
      <c r="C28" s="16" t="s">
        <v>67</v>
      </c>
      <c r="D28" s="9" t="s">
        <v>52</v>
      </c>
      <c r="E28" s="9" t="s">
        <v>68</v>
      </c>
      <c r="F28" s="14"/>
      <c r="G28" s="14">
        <v>60</v>
      </c>
      <c r="H28" s="17"/>
      <c r="I28" s="17">
        <f>G28</f>
        <v>60</v>
      </c>
      <c r="J28" s="17"/>
      <c r="K28" s="9"/>
      <c r="L28" s="16"/>
    </row>
    <row r="29" spans="1:15">
      <c r="A29" s="9">
        <v>15</v>
      </c>
      <c r="B29" s="9"/>
      <c r="C29" s="16" t="s">
        <v>69</v>
      </c>
      <c r="D29" s="9" t="s">
        <v>52</v>
      </c>
      <c r="E29" s="9" t="s">
        <v>70</v>
      </c>
      <c r="F29" s="14"/>
      <c r="G29" s="14">
        <f>L2*14/2000</f>
        <v>50.000999999999998</v>
      </c>
      <c r="H29" s="17"/>
      <c r="I29" s="17">
        <f>G29</f>
        <v>50.000999999999998</v>
      </c>
      <c r="J29" s="17"/>
      <c r="K29" s="9"/>
      <c r="L29" s="16"/>
    </row>
    <row r="30" spans="1:15" ht="25">
      <c r="A30" s="9">
        <v>16</v>
      </c>
      <c r="B30" s="9"/>
      <c r="C30" s="16" t="s">
        <v>71</v>
      </c>
      <c r="D30" s="9" t="s">
        <v>52</v>
      </c>
      <c r="E30" s="9" t="s">
        <v>72</v>
      </c>
      <c r="F30" s="14">
        <f>L2/2800</f>
        <v>2.5510714285714284</v>
      </c>
      <c r="G30" s="14">
        <v>45</v>
      </c>
      <c r="H30" s="17"/>
      <c r="I30" s="17">
        <f>G30</f>
        <v>45</v>
      </c>
      <c r="J30" s="17"/>
      <c r="K30" s="9"/>
      <c r="L30" s="16"/>
    </row>
    <row r="31" spans="1:15">
      <c r="A31" s="9">
        <v>17</v>
      </c>
      <c r="B31" s="9"/>
      <c r="C31" s="16" t="s">
        <v>73</v>
      </c>
      <c r="D31" s="9" t="s">
        <v>52</v>
      </c>
      <c r="E31" s="9" t="s">
        <v>74</v>
      </c>
      <c r="F31" s="21">
        <f>0.2*(L2/1000)</f>
        <v>1.4286000000000001</v>
      </c>
      <c r="G31" s="14" t="s">
        <v>30</v>
      </c>
      <c r="H31" s="17"/>
      <c r="I31" s="17"/>
      <c r="J31" s="17"/>
      <c r="K31" s="15"/>
      <c r="L31" s="16"/>
    </row>
    <row r="32" spans="1:15">
      <c r="A32" s="9">
        <v>18</v>
      </c>
      <c r="B32" s="9"/>
      <c r="C32" s="16" t="s">
        <v>75</v>
      </c>
      <c r="D32" s="9" t="s">
        <v>52</v>
      </c>
      <c r="E32" s="9"/>
      <c r="F32" s="14"/>
      <c r="G32" s="14"/>
      <c r="H32" s="17"/>
      <c r="I32" s="17"/>
      <c r="J32" s="17"/>
      <c r="K32" s="9"/>
      <c r="L32" s="16"/>
    </row>
    <row r="33" spans="1:17" s="25" customFormat="1" ht="13">
      <c r="A33" s="90" t="s">
        <v>76</v>
      </c>
      <c r="B33" s="91"/>
      <c r="C33" s="91"/>
      <c r="D33" s="91"/>
      <c r="E33" s="91"/>
      <c r="F33" s="91"/>
      <c r="G33" s="91"/>
      <c r="H33" s="92"/>
      <c r="I33" s="93">
        <f>I15+J16+I17+I19+I21+I22+I24+I28+I29+I30</f>
        <v>20718.928000000004</v>
      </c>
      <c r="J33" s="94"/>
      <c r="K33" s="22"/>
      <c r="L33" s="23"/>
      <c r="M33" s="24"/>
      <c r="N33" s="24"/>
      <c r="O33" s="24"/>
      <c r="P33" s="24"/>
      <c r="Q33" s="24"/>
    </row>
  </sheetData>
  <mergeCells count="49">
    <mergeCell ref="A1:L1"/>
    <mergeCell ref="A4:A5"/>
    <mergeCell ref="C4:C5"/>
    <mergeCell ref="D4:D5"/>
    <mergeCell ref="E4:E5"/>
    <mergeCell ref="F4:G4"/>
    <mergeCell ref="H4:I4"/>
    <mergeCell ref="J4:J5"/>
    <mergeCell ref="K4:K5"/>
    <mergeCell ref="L4:L5"/>
    <mergeCell ref="A7:A8"/>
    <mergeCell ref="C7:C8"/>
    <mergeCell ref="A9:A10"/>
    <mergeCell ref="C9:C10"/>
    <mergeCell ref="A13:A14"/>
    <mergeCell ref="B13:B14"/>
    <mergeCell ref="C13:C14"/>
    <mergeCell ref="J13:J14"/>
    <mergeCell ref="K13:K14"/>
    <mergeCell ref="A15:A16"/>
    <mergeCell ref="A17:A18"/>
    <mergeCell ref="C17:C18"/>
    <mergeCell ref="F17:F18"/>
    <mergeCell ref="G17:G18"/>
    <mergeCell ref="H17:H18"/>
    <mergeCell ref="I17:I18"/>
    <mergeCell ref="J17:J18"/>
    <mergeCell ref="D13:D14"/>
    <mergeCell ref="E13:E14"/>
    <mergeCell ref="F13:F14"/>
    <mergeCell ref="G13:G14"/>
    <mergeCell ref="H13:H14"/>
    <mergeCell ref="I13:I14"/>
    <mergeCell ref="A33:H33"/>
    <mergeCell ref="I33:J33"/>
    <mergeCell ref="L17:L18"/>
    <mergeCell ref="A19:A20"/>
    <mergeCell ref="C19:C20"/>
    <mergeCell ref="F19:F20"/>
    <mergeCell ref="G19:G20"/>
    <mergeCell ref="H19:H20"/>
    <mergeCell ref="I19:I20"/>
    <mergeCell ref="J19:J20"/>
    <mergeCell ref="L19:L20"/>
    <mergeCell ref="F23:G23"/>
    <mergeCell ref="H23:I23"/>
    <mergeCell ref="A24:A27"/>
    <mergeCell ref="I24:I27"/>
    <mergeCell ref="F25:G2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D27" sqref="D27"/>
    </sheetView>
  </sheetViews>
  <sheetFormatPr defaultColWidth="9.1796875" defaultRowHeight="14"/>
  <cols>
    <col min="1" max="1" width="4.1796875" style="2" customWidth="1"/>
    <col min="2" max="2" width="39.81640625" style="2" customWidth="1"/>
    <col min="3" max="3" width="11" style="2" customWidth="1"/>
    <col min="4" max="4" width="17.54296875" style="2" customWidth="1"/>
    <col min="5" max="5" width="16.7265625" style="2" customWidth="1"/>
    <col min="6" max="6" width="34.1796875" style="2" customWidth="1"/>
    <col min="7" max="7" width="9.1796875" style="2"/>
    <col min="8" max="8" width="11.54296875" style="2" bestFit="1" customWidth="1"/>
    <col min="9" max="9" width="12.7265625" style="2" bestFit="1" customWidth="1"/>
    <col min="10" max="11" width="9.26953125" style="2" bestFit="1" customWidth="1"/>
    <col min="12" max="13" width="9.1796875" style="2"/>
    <col min="14" max="14" width="11.54296875" style="2" bestFit="1" customWidth="1"/>
    <col min="15" max="16384" width="9.1796875" style="2"/>
  </cols>
  <sheetData>
    <row r="1" spans="1:14">
      <c r="A1" s="85" t="s">
        <v>77</v>
      </c>
      <c r="B1" s="85"/>
      <c r="C1" s="85"/>
      <c r="D1" s="85"/>
      <c r="E1" s="85"/>
      <c r="F1" s="85"/>
    </row>
    <row r="2" spans="1:14" s="6" customFormat="1" ht="12.5"/>
    <row r="3" spans="1:14" s="6" customFormat="1" ht="25">
      <c r="A3" s="26" t="s">
        <v>9</v>
      </c>
      <c r="B3" s="26" t="s">
        <v>11</v>
      </c>
      <c r="C3" s="26" t="s">
        <v>12</v>
      </c>
      <c r="D3" s="26" t="s">
        <v>78</v>
      </c>
      <c r="E3" s="26" t="s">
        <v>79</v>
      </c>
      <c r="F3" s="26" t="s">
        <v>80</v>
      </c>
    </row>
    <row r="4" spans="1:14" s="13" customFormat="1" ht="13">
      <c r="A4" s="27">
        <v>1</v>
      </c>
      <c r="B4" s="27">
        <v>2</v>
      </c>
      <c r="C4" s="27">
        <v>3</v>
      </c>
      <c r="D4" s="27">
        <v>4</v>
      </c>
      <c r="E4" s="27">
        <v>5</v>
      </c>
      <c r="F4" s="27">
        <v>6</v>
      </c>
    </row>
    <row r="5" spans="1:14" s="6" customFormat="1" ht="12.5">
      <c r="A5" s="26"/>
      <c r="B5" s="28" t="s">
        <v>7</v>
      </c>
      <c r="C5" s="26" t="s">
        <v>4</v>
      </c>
      <c r="D5" s="29">
        <f>'расчет_200 тыс кв'!D18</f>
        <v>7143</v>
      </c>
      <c r="E5" s="30"/>
      <c r="F5" s="26"/>
    </row>
    <row r="6" spans="1:14" s="6" customFormat="1" ht="13">
      <c r="A6" s="31">
        <v>1</v>
      </c>
      <c r="B6" s="32" t="s">
        <v>81</v>
      </c>
      <c r="C6" s="31" t="s">
        <v>82</v>
      </c>
      <c r="D6" s="33">
        <f>'расчет_200 тыс кв'!D32</f>
        <v>465</v>
      </c>
      <c r="E6" s="34">
        <f>ROUND(D6*0.2,0)</f>
        <v>93</v>
      </c>
      <c r="F6" s="32" t="s">
        <v>83</v>
      </c>
    </row>
    <row r="7" spans="1:14" s="6" customFormat="1" ht="25">
      <c r="A7" s="31">
        <v>2</v>
      </c>
      <c r="B7" s="32" t="s">
        <v>84</v>
      </c>
      <c r="C7" s="31" t="s">
        <v>82</v>
      </c>
      <c r="D7" s="33">
        <f>'расчет_200 тыс кв'!D34</f>
        <v>975</v>
      </c>
      <c r="E7" s="34">
        <f>_xlfn.CEILING.MATH(D7*15/100,1)</f>
        <v>147</v>
      </c>
      <c r="F7" s="32" t="s">
        <v>85</v>
      </c>
    </row>
    <row r="8" spans="1:14" s="6" customFormat="1" ht="13">
      <c r="A8" s="31">
        <v>3</v>
      </c>
      <c r="B8" s="32" t="s">
        <v>134</v>
      </c>
      <c r="C8" s="6" t="s">
        <v>35</v>
      </c>
      <c r="D8" s="35">
        <f>'расчет_200 тыс кв'!D37</f>
        <v>127</v>
      </c>
      <c r="E8" s="36">
        <f>_xlfn.CEILING.MATH(D8*30/100,1)</f>
        <v>39</v>
      </c>
      <c r="F8" s="28" t="s">
        <v>90</v>
      </c>
    </row>
    <row r="9" spans="1:14" s="6" customFormat="1" ht="25">
      <c r="A9" s="26"/>
      <c r="B9" s="16" t="s">
        <v>86</v>
      </c>
      <c r="C9" s="26" t="s">
        <v>156</v>
      </c>
      <c r="D9" s="35">
        <f>соц!I15+соц!J16</f>
        <v>14207.427000000001</v>
      </c>
      <c r="E9" s="36">
        <f>ROUND(D9/15,0)</f>
        <v>947</v>
      </c>
      <c r="F9" s="37" t="s">
        <v>88</v>
      </c>
    </row>
    <row r="10" spans="1:14" s="6" customFormat="1" ht="13">
      <c r="A10" s="26"/>
      <c r="B10" s="16" t="s">
        <v>91</v>
      </c>
      <c r="C10" s="26" t="s">
        <v>42</v>
      </c>
      <c r="D10" s="35">
        <f>соц!H17</f>
        <v>78</v>
      </c>
      <c r="E10" s="36">
        <f>D10</f>
        <v>78</v>
      </c>
      <c r="F10" s="28" t="s">
        <v>92</v>
      </c>
    </row>
    <row r="11" spans="1:14" s="6" customFormat="1" ht="13">
      <c r="A11" s="26"/>
      <c r="B11" s="16" t="s">
        <v>93</v>
      </c>
      <c r="C11" s="26" t="s">
        <v>47</v>
      </c>
      <c r="D11" s="35">
        <f>соц!H19</f>
        <v>286</v>
      </c>
      <c r="E11" s="36">
        <f>ROUND(D11/6,0)</f>
        <v>48</v>
      </c>
      <c r="F11" s="28" t="s">
        <v>94</v>
      </c>
    </row>
    <row r="12" spans="1:14" s="6" customFormat="1" ht="13">
      <c r="A12" s="26"/>
      <c r="B12" s="16" t="s">
        <v>95</v>
      </c>
      <c r="C12" s="26" t="s">
        <v>52</v>
      </c>
      <c r="D12" s="35">
        <f>соц!I24</f>
        <v>1200</v>
      </c>
      <c r="E12" s="36">
        <f>_xlfn.CEILING.MATH(D12/60,1)</f>
        <v>20</v>
      </c>
      <c r="F12" s="28" t="s">
        <v>96</v>
      </c>
      <c r="I12" s="26"/>
      <c r="J12" s="30"/>
      <c r="K12" s="26"/>
      <c r="L12" s="30"/>
      <c r="M12" s="26"/>
      <c r="N12" s="30"/>
    </row>
    <row r="13" spans="1:14" s="6" customFormat="1" ht="26">
      <c r="A13" s="26"/>
      <c r="B13" s="16" t="s">
        <v>97</v>
      </c>
      <c r="C13" s="26" t="s">
        <v>52</v>
      </c>
      <c r="D13" s="35">
        <f>соц!I28</f>
        <v>60</v>
      </c>
      <c r="E13" s="36">
        <f>ROUND(D13/15,0)</f>
        <v>4</v>
      </c>
      <c r="F13" s="38" t="s">
        <v>98</v>
      </c>
      <c r="I13" s="26"/>
      <c r="J13" s="26"/>
      <c r="K13" s="26"/>
      <c r="L13" s="26"/>
      <c r="M13" s="26"/>
      <c r="N13" s="26"/>
    </row>
    <row r="14" spans="1:14" s="6" customFormat="1" ht="13">
      <c r="A14" s="26"/>
      <c r="B14" s="16" t="s">
        <v>99</v>
      </c>
      <c r="C14" s="26" t="s">
        <v>52</v>
      </c>
      <c r="D14" s="35">
        <f>соц!I30</f>
        <v>45</v>
      </c>
      <c r="E14" s="36">
        <f>'[1]расчет мм для социалки'!C13</f>
        <v>2</v>
      </c>
      <c r="F14" s="28" t="s">
        <v>100</v>
      </c>
      <c r="I14" s="26"/>
      <c r="J14" s="26"/>
      <c r="K14" s="26"/>
      <c r="L14" s="26"/>
      <c r="M14" s="26"/>
      <c r="N14" s="26"/>
    </row>
    <row r="15" spans="1:14" s="6" customFormat="1" ht="13">
      <c r="A15" s="26"/>
      <c r="B15" s="16" t="s">
        <v>101</v>
      </c>
      <c r="C15" s="26" t="s">
        <v>52</v>
      </c>
      <c r="D15" s="35">
        <f>соц!I21+соц!I22</f>
        <v>1100.5</v>
      </c>
      <c r="E15" s="36">
        <f>_xlfn.CEILING.MATH(D15/60,1)</f>
        <v>19</v>
      </c>
      <c r="F15" s="28" t="s">
        <v>96</v>
      </c>
    </row>
    <row r="16" spans="1:14" s="6" customFormat="1" ht="13">
      <c r="A16" s="26"/>
      <c r="B16" s="16" t="s">
        <v>69</v>
      </c>
      <c r="C16" s="26"/>
      <c r="D16" s="35">
        <f>соц!I29</f>
        <v>50.000999999999998</v>
      </c>
      <c r="E16" s="36">
        <f>ROUND(D16/10,0)</f>
        <v>5</v>
      </c>
      <c r="F16" s="28" t="s">
        <v>102</v>
      </c>
    </row>
    <row r="17" spans="1:6" s="6" customFormat="1" ht="13">
      <c r="A17" s="26"/>
      <c r="B17" s="16" t="s">
        <v>103</v>
      </c>
      <c r="C17" s="26" t="s">
        <v>52</v>
      </c>
      <c r="D17" s="30">
        <v>21700</v>
      </c>
      <c r="E17" s="36">
        <f>ROUND(D17/10,0)</f>
        <v>2170</v>
      </c>
      <c r="F17" s="28" t="s">
        <v>102</v>
      </c>
    </row>
    <row r="18" spans="1:6" s="42" customFormat="1" ht="13.5">
      <c r="A18" s="103" t="s">
        <v>104</v>
      </c>
      <c r="B18" s="103"/>
      <c r="C18" s="39"/>
      <c r="D18" s="40"/>
      <c r="E18" s="41">
        <f>SUM(E6:E17)</f>
        <v>3572</v>
      </c>
      <c r="F18" s="39"/>
    </row>
    <row r="19" spans="1:6" s="42" customFormat="1" ht="13">
      <c r="A19" s="43"/>
      <c r="B19" s="43" t="s">
        <v>105</v>
      </c>
      <c r="C19" s="43"/>
      <c r="D19" s="44">
        <f>ROUNDUP(D5*0.5,0)</f>
        <v>3572</v>
      </c>
      <c r="E19" s="44"/>
      <c r="F19" s="43"/>
    </row>
    <row r="20" spans="1:6" s="42" customFormat="1" ht="13">
      <c r="A20" s="43"/>
      <c r="B20" s="43" t="s">
        <v>106</v>
      </c>
      <c r="C20" s="43"/>
      <c r="D20" s="44"/>
      <c r="E20" s="45">
        <f>E18-D19</f>
        <v>0</v>
      </c>
      <c r="F20" s="43"/>
    </row>
    <row r="24" spans="1:6">
      <c r="E24" s="46"/>
    </row>
    <row r="28" spans="1:6">
      <c r="E28" s="46"/>
    </row>
    <row r="29" spans="1:6">
      <c r="E29" s="46"/>
    </row>
    <row r="30" spans="1:6">
      <c r="E30" s="46"/>
    </row>
    <row r="31" spans="1:6">
      <c r="E31" s="46"/>
    </row>
    <row r="33" spans="5:5">
      <c r="E33" s="46"/>
    </row>
  </sheetData>
  <mergeCells count="2">
    <mergeCell ref="A1:F1"/>
    <mergeCell ref="A18:B18"/>
  </mergeCells>
  <conditionalFormatting sqref="E12:F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{CF83382F-A683-4901-BD0B-A665267DDAC8}</x14:id>
        </ext>
      </extLst>
    </cfRule>
  </conditionalFormatting>
  <conditionalFormatting sqref="E15:F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{266E5577-5CF9-4148-B457-15B3181428E6}</x14:id>
        </ext>
      </extLst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83382F-A683-4901-BD0B-A665267DDA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E12:F12</xm:sqref>
        </x14:conditionalFormatting>
        <x14:conditionalFormatting xmlns:xm="http://schemas.microsoft.com/office/excel/2006/main">
          <x14:cfRule type="dataBar" id="{266E5577-5CF9-4148-B457-15B318142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E15:F15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workbookViewId="0">
      <selection activeCell="D25" sqref="D25"/>
    </sheetView>
  </sheetViews>
  <sheetFormatPr defaultRowHeight="14.5"/>
  <cols>
    <col min="1" max="1" width="25" customWidth="1"/>
    <col min="2" max="2" width="30.7265625" customWidth="1"/>
    <col min="3" max="3" width="15.7265625" customWidth="1"/>
    <col min="4" max="4" width="18.26953125" customWidth="1"/>
    <col min="5" max="5" width="21.1796875" customWidth="1"/>
  </cols>
  <sheetData>
    <row r="2" spans="1:5" s="6" customFormat="1" ht="12.5">
      <c r="A2" s="104" t="s">
        <v>158</v>
      </c>
      <c r="B2" s="104"/>
      <c r="C2" s="104"/>
      <c r="D2" s="104"/>
      <c r="E2" s="104"/>
    </row>
    <row r="3" spans="1:5" s="6" customFormat="1" ht="13.5">
      <c r="A3" s="102"/>
      <c r="B3" s="102"/>
      <c r="C3" s="102"/>
      <c r="D3" s="102"/>
      <c r="E3" s="102"/>
    </row>
    <row r="4" spans="1:5" s="42" customFormat="1" ht="27">
      <c r="A4" s="70"/>
      <c r="B4" s="71" t="s">
        <v>159</v>
      </c>
      <c r="C4" s="71" t="s">
        <v>160</v>
      </c>
      <c r="D4" s="71" t="s">
        <v>161</v>
      </c>
      <c r="E4" s="72" t="s">
        <v>162</v>
      </c>
    </row>
    <row r="5" spans="1:5" s="42" customFormat="1" ht="13">
      <c r="A5" s="105"/>
      <c r="B5" s="105"/>
      <c r="C5" s="105"/>
      <c r="D5" s="106"/>
      <c r="E5" s="73">
        <f>E6+E7+E8+E9+E10+E11+E12+E13+E14+E15+E16+E17</f>
        <v>1046.7719999999999</v>
      </c>
    </row>
    <row r="6" spans="1:5" s="6" customFormat="1" ht="62.5">
      <c r="A6" s="16" t="s">
        <v>86</v>
      </c>
      <c r="B6" s="9" t="s">
        <v>163</v>
      </c>
      <c r="C6" s="9"/>
      <c r="D6" s="17">
        <f>соц!I15+соц!J16</f>
        <v>14207.427000000001</v>
      </c>
      <c r="E6" s="9">
        <f>ROUND(D6/55,0)</f>
        <v>258</v>
      </c>
    </row>
    <row r="7" spans="1:5" s="6" customFormat="1" ht="25">
      <c r="A7" s="16" t="s">
        <v>89</v>
      </c>
      <c r="B7" s="9" t="s">
        <v>164</v>
      </c>
      <c r="C7" s="9">
        <f>'расчет_200 тыс кв'!D37</f>
        <v>127</v>
      </c>
      <c r="D7" s="17"/>
      <c r="E7" s="9">
        <f>_xlfn.CEILING.MATH(('раб места'!E8*10/100)+(D7*4/100),1)</f>
        <v>4</v>
      </c>
    </row>
    <row r="8" spans="1:5" s="6" customFormat="1" ht="12.5">
      <c r="A8" s="16" t="s">
        <v>91</v>
      </c>
      <c r="B8" s="9" t="s">
        <v>165</v>
      </c>
      <c r="C8" s="17">
        <f>соц!H17</f>
        <v>78</v>
      </c>
      <c r="D8" s="17">
        <f>C8*30</f>
        <v>2340</v>
      </c>
      <c r="E8" s="9">
        <f>ROUND(D8/15,0)</f>
        <v>156</v>
      </c>
    </row>
    <row r="9" spans="1:5" s="6" customFormat="1" ht="12.5">
      <c r="A9" s="16" t="s">
        <v>93</v>
      </c>
      <c r="B9" s="9" t="s">
        <v>166</v>
      </c>
      <c r="C9" s="17">
        <f>соц!H19</f>
        <v>286</v>
      </c>
      <c r="D9" s="17">
        <f>C9*6</f>
        <v>1716</v>
      </c>
      <c r="E9" s="9">
        <f>ROUND(C9/5,0)</f>
        <v>57</v>
      </c>
    </row>
    <row r="10" spans="1:5" s="6" customFormat="1" ht="13">
      <c r="A10" s="16" t="s">
        <v>95</v>
      </c>
      <c r="B10" s="78" t="s">
        <v>167</v>
      </c>
      <c r="C10" s="17"/>
      <c r="D10" s="17">
        <f>соц!I24</f>
        <v>1200</v>
      </c>
      <c r="E10" s="9">
        <f>ROUND(D10/25,0)</f>
        <v>48</v>
      </c>
    </row>
    <row r="11" spans="1:5" s="6" customFormat="1" ht="13">
      <c r="A11" s="16" t="s">
        <v>97</v>
      </c>
      <c r="B11" s="78" t="s">
        <v>168</v>
      </c>
      <c r="C11" s="9"/>
      <c r="D11" s="17">
        <f>соц!I28</f>
        <v>60</v>
      </c>
      <c r="E11" s="9">
        <f>ROUND(D11/40,0)</f>
        <v>2</v>
      </c>
    </row>
    <row r="12" spans="1:5" s="6" customFormat="1" ht="13">
      <c r="A12" s="16" t="s">
        <v>99</v>
      </c>
      <c r="B12" s="78" t="s">
        <v>30</v>
      </c>
      <c r="C12" s="17">
        <f>'[2]расчет социалки'!H30</f>
        <v>2</v>
      </c>
      <c r="D12" s="17">
        <f>соц!I30</f>
        <v>45</v>
      </c>
      <c r="E12" s="78">
        <v>1</v>
      </c>
    </row>
    <row r="13" spans="1:5" s="6" customFormat="1" ht="13">
      <c r="A13" s="16" t="s">
        <v>101</v>
      </c>
      <c r="B13" s="78" t="s">
        <v>169</v>
      </c>
      <c r="C13" s="9"/>
      <c r="D13" s="17">
        <f>соц!I21+соц!I22</f>
        <v>1100.5</v>
      </c>
      <c r="E13" s="9">
        <f>ROUND(D13/40,0)</f>
        <v>28</v>
      </c>
    </row>
    <row r="14" spans="1:5" s="6" customFormat="1" ht="12.5">
      <c r="A14" s="16" t="s">
        <v>171</v>
      </c>
      <c r="B14" s="9" t="s">
        <v>170</v>
      </c>
      <c r="C14" s="9"/>
      <c r="D14" s="17">
        <f>'раб места'!D17</f>
        <v>21700</v>
      </c>
      <c r="E14" s="9">
        <f>ROUND(D14/50,0)</f>
        <v>434</v>
      </c>
    </row>
    <row r="15" spans="1:5" s="77" customFormat="1" ht="13">
      <c r="A15" s="74" t="s">
        <v>20</v>
      </c>
      <c r="B15" s="75"/>
      <c r="C15" s="75">
        <f>'расчет_200 тыс кв'!D32</f>
        <v>465</v>
      </c>
      <c r="D15" s="76"/>
      <c r="E15" s="76">
        <v>10</v>
      </c>
    </row>
    <row r="16" spans="1:5" s="77" customFormat="1" ht="26">
      <c r="A16" s="74" t="s">
        <v>25</v>
      </c>
      <c r="B16" s="75" t="s">
        <v>172</v>
      </c>
      <c r="C16" s="75">
        <f>'расчет_200 тыс кв'!D34</f>
        <v>975</v>
      </c>
      <c r="D16" s="39"/>
      <c r="E16" s="76">
        <f>(C16*1/1000)+([2]раб_места!E7*7/100)</f>
        <v>8.1150000000000002</v>
      </c>
    </row>
    <row r="17" spans="1:5" s="6" customFormat="1" ht="13">
      <c r="A17" s="74" t="s">
        <v>112</v>
      </c>
      <c r="B17" s="75"/>
      <c r="C17" s="75">
        <f>'расчет_200 тыс кв'!D37</f>
        <v>127</v>
      </c>
      <c r="D17" s="39"/>
      <c r="E17" s="76">
        <f>(C17*1/1000)+([2]раб_места!E8*7/100)</f>
        <v>40.657000000000004</v>
      </c>
    </row>
    <row r="18" spans="1:5" s="6" customFormat="1" ht="12.5">
      <c r="A18" s="7"/>
      <c r="B18" s="5"/>
      <c r="C18" s="5"/>
      <c r="D18" s="5"/>
      <c r="E18" s="5"/>
    </row>
    <row r="19" spans="1:5" s="6" customFormat="1" ht="12.5">
      <c r="A19" s="7"/>
      <c r="B19" s="5"/>
      <c r="C19" s="5"/>
      <c r="D19" s="5"/>
      <c r="E19" s="5"/>
    </row>
    <row r="20" spans="1:5" s="6" customFormat="1" ht="12.5">
      <c r="A20" s="7"/>
      <c r="B20" s="5"/>
      <c r="C20" s="5"/>
      <c r="D20" s="5"/>
      <c r="E20" s="5"/>
    </row>
    <row r="21" spans="1:5" s="6" customFormat="1" ht="12.5">
      <c r="A21" s="7"/>
      <c r="B21" s="5"/>
      <c r="C21" s="5"/>
      <c r="D21" s="5"/>
      <c r="E21" s="5"/>
    </row>
  </sheetData>
  <mergeCells count="3">
    <mergeCell ref="A2:E2"/>
    <mergeCell ref="A3:E3"/>
    <mergeCell ref="A5:D5"/>
  </mergeCells>
  <phoneticPr fontId="1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расчет_200 тыс кв</vt:lpstr>
      <vt:lpstr>соц</vt:lpstr>
      <vt:lpstr>раб места</vt:lpstr>
      <vt:lpstr>м_м</vt:lpstr>
      <vt:lpstr>'расчет_200 тыс кв'!Заголовки_для_печати</vt:lpstr>
      <vt:lpstr>м_м!Область_печати</vt:lpstr>
      <vt:lpstr>'расчет_200 тыс кв'!Область_печати</vt:lpstr>
      <vt:lpstr>соц!Область_печати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Вигант Владимир Владимирович</cp:lastModifiedBy>
  <cp:lastPrinted>2026-06-03T07:41:24Z</cp:lastPrinted>
  <dcterms:created xsi:type="dcterms:W3CDTF">2026-06-01T09:11:39Z</dcterms:created>
  <dcterms:modified xsi:type="dcterms:W3CDTF">2026-06-15T07:48:04Z</dcterms:modified>
</cp:coreProperties>
</file>