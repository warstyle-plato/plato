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showInkAnnotation="0"/>
  <xr:revisionPtr revIDLastSave="0" documentId="8_{2A653983-9C29-C94F-99F2-19DEBD3AF2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ТЭП" sheetId="1" r:id="rId1"/>
    <sheet name="ТЭП_люди" sheetId="2" r:id="rId2"/>
    <sheet name="Доп_вводные_web" sheetId="3" r:id="rId3"/>
    <sheet name="Сверка" sheetId="4" r:id="rId4"/>
    <sheet name="README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<sst xmlns="http://schemas.openxmlformats.org/spreadsheetml/2006/main" count="311" uniqueCount="208">
  <si>
    <t>№</t>
  </si>
  <si>
    <t>Наименования</t>
  </si>
  <si>
    <t>Единицы измерения</t>
  </si>
  <si>
    <t>Показатель</t>
  </si>
  <si>
    <t>Площадь территории проектирования</t>
  </si>
  <si>
    <t>га</t>
  </si>
  <si>
    <t>Плотность от СПП</t>
  </si>
  <si>
    <t>тыс.кв.м./га</t>
  </si>
  <si>
    <t>Плотность от НП</t>
  </si>
  <si>
    <t>Население</t>
  </si>
  <si>
    <t>чел.</t>
  </si>
  <si>
    <t>Количество квартир</t>
  </si>
  <si>
    <t>шт.</t>
  </si>
  <si>
    <t>СПП в ГНС:</t>
  </si>
  <si>
    <t>СПП, всего:</t>
  </si>
  <si>
    <t>тыс.кв.м.</t>
  </si>
  <si>
    <t>СПП жилых зданий, в т.ч.:</t>
  </si>
  <si>
    <t>7.1</t>
  </si>
  <si>
    <t>СПП жилая</t>
  </si>
  <si>
    <t>7.2</t>
  </si>
  <si>
    <t>СПП нежилой части жилых зданий</t>
  </si>
  <si>
    <t>СПП нежилых зданий, в т.ч.:</t>
  </si>
  <si>
    <t>8.1</t>
  </si>
  <si>
    <t>СПП общественных, производственных объектов</t>
  </si>
  <si>
    <t>8.2</t>
  </si>
  <si>
    <t>СПП социальных объектов</t>
  </si>
  <si>
    <t>Наземная площадь:</t>
  </si>
  <si>
    <t>НП, всего:</t>
  </si>
  <si>
    <t>9.1</t>
  </si>
  <si>
    <t>НП жилых зданий, в т.ч.:</t>
  </si>
  <si>
    <t>9.1.1</t>
  </si>
  <si>
    <t>НП жилая</t>
  </si>
  <si>
    <t>9.1.2</t>
  </si>
  <si>
    <t>НП нежилой части жилых зданий</t>
  </si>
  <si>
    <t>9.2</t>
  </si>
  <si>
    <t>НП нежилых зданий, в т.ч.:</t>
  </si>
  <si>
    <t>9.2.1</t>
  </si>
  <si>
    <t>НП общественных, производственных объектов</t>
  </si>
  <si>
    <t>9.2.2</t>
  </si>
  <si>
    <t>НП социальных объектов</t>
  </si>
  <si>
    <t>Единый показатель:</t>
  </si>
  <si>
    <t>Площадь квартир</t>
  </si>
  <si>
    <t>Нежилая наземная площадь (ННП) — продаваемая коммерция 1 этажа</t>
  </si>
  <si>
    <t>Баланс территории:</t>
  </si>
  <si>
    <t>Территория жилых зданий, в т.ч.:</t>
  </si>
  <si>
    <t>12.1</t>
  </si>
  <si>
    <t>участки многоквартирных жилых зданий</t>
  </si>
  <si>
    <t>12.2</t>
  </si>
  <si>
    <t>незастраиваемая территория</t>
  </si>
  <si>
    <t>Участки социальных объектов</t>
  </si>
  <si>
    <t>Участки общественных, производственных объектов</t>
  </si>
  <si>
    <t>Расчётная плотность территории от СПП:</t>
  </si>
  <si>
    <t>жилых участков</t>
  </si>
  <si>
    <t>социальных объектов</t>
  </si>
  <si>
    <t>общественных, производственных объектов</t>
  </si>
  <si>
    <t>ДОО:</t>
  </si>
  <si>
    <t>количество мест</t>
  </si>
  <si>
    <t>мест</t>
  </si>
  <si>
    <t>СПП</t>
  </si>
  <si>
    <t>наземная площадь</t>
  </si>
  <si>
    <t>площадь земельного участка</t>
  </si>
  <si>
    <t>Школы:</t>
  </si>
  <si>
    <t>Поликлиники:</t>
  </si>
  <si>
    <t>мощность</t>
  </si>
  <si>
    <t>пос./см.</t>
  </si>
  <si>
    <t>Расчёт объектов обслуживания:</t>
  </si>
  <si>
    <t>ДОО</t>
  </si>
  <si>
    <t>Школа</t>
  </si>
  <si>
    <t>Поликлиника смешанного типа</t>
  </si>
  <si>
    <t>Поликлиника взрослая</t>
  </si>
  <si>
    <t>Поликлиника детская</t>
  </si>
  <si>
    <t>Расчёт машино-мест:</t>
  </si>
  <si>
    <t>42</t>
  </si>
  <si>
    <t>Места хранения и паркирования, в т.ч.:</t>
  </si>
  <si>
    <t>м/м</t>
  </si>
  <si>
    <t>42.1</t>
  </si>
  <si>
    <t>Постоянные парковки</t>
  </si>
  <si>
    <t>42.2</t>
  </si>
  <si>
    <t>Гостевые парковки</t>
  </si>
  <si>
    <t>42.3</t>
  </si>
  <si>
    <t>Приобъектные парковки</t>
  </si>
  <si>
    <t>43</t>
  </si>
  <si>
    <t>Места кратковременной остановки</t>
  </si>
  <si>
    <t>Расчёт стоимости смены ВРИ:</t>
  </si>
  <si>
    <t>млн.руб.</t>
  </si>
  <si>
    <t>Многоквартирные жилые здания</t>
  </si>
  <si>
    <t>Индивидуальные, блочные жилые здания</t>
  </si>
  <si>
    <t>Хранение индивидуального транспорта</t>
  </si>
  <si>
    <t>Объекты мультифункционального назначения</t>
  </si>
  <si>
    <t>Объекты для временного проживания</t>
  </si>
  <si>
    <t>Административные, офисные здания</t>
  </si>
  <si>
    <t>Производственные здания</t>
  </si>
  <si>
    <t>Социальные объекты</t>
  </si>
  <si>
    <t>Льгота на стр-во жилья за создание МПТ</t>
  </si>
  <si>
    <t>Льгота на стр-во жилья за передачу жилых помещений</t>
  </si>
  <si>
    <t>Расчёт компенсации за социальные объекты:</t>
  </si>
  <si>
    <t>Поликлиника</t>
  </si>
  <si>
    <t>Блок</t>
  </si>
  <si>
    <t>ГНС, м²</t>
  </si>
  <si>
    <t>Общая площадь, м²</t>
  </si>
  <si>
    <t>k выхода</t>
  </si>
  <si>
    <t>Полезная площадь, м²</t>
  </si>
  <si>
    <t>Продаваемая площадь, м²</t>
  </si>
  <si>
    <t>Передаваемая, м²</t>
  </si>
  <si>
    <t>Количество, шт./мест</t>
  </si>
  <si>
    <t>Источник / комментарий</t>
  </si>
  <si>
    <t>ИТОГО</t>
  </si>
  <si>
    <t>ФМ Мытищи v1.3, лист ТЭП</t>
  </si>
  <si>
    <t>Основные</t>
  </si>
  <si>
    <t>Основные объекты</t>
  </si>
  <si>
    <t>ФМ Мытищи v1.3</t>
  </si>
  <si>
    <t>Наземная</t>
  </si>
  <si>
    <t>Наземная часть</t>
  </si>
  <si>
    <t>Продукт</t>
  </si>
  <si>
    <t>Квартиры</t>
  </si>
  <si>
    <t>Коммерция 1 этажа (НП)</t>
  </si>
  <si>
    <t>Прочие / МФК</t>
  </si>
  <si>
    <t>Подземная</t>
  </si>
  <si>
    <t>Подземная часть</t>
  </si>
  <si>
    <t>Подземный паркинг</t>
  </si>
  <si>
    <t>ФМ Мытищи v1.3; площадь после выделения кладовых</t>
  </si>
  <si>
    <t>Кладовки</t>
  </si>
  <si>
    <t>Тех</t>
  </si>
  <si>
    <t>Техэтаж</t>
  </si>
  <si>
    <t>Соц</t>
  </si>
  <si>
    <t>ДОУ</t>
  </si>
  <si>
    <t>425 мест — экономика старой ФМ</t>
  </si>
  <si>
    <t>СОШ</t>
  </si>
  <si>
    <t>675 мест — экономика старой ФМ</t>
  </si>
  <si>
    <t>В старой ФМ отсутствует</t>
  </si>
  <si>
    <t>Параметр</t>
  </si>
  <si>
    <t>Значение</t>
  </si>
  <si>
    <t>Ед.</t>
  </si>
  <si>
    <t>Что ставить в web</t>
  </si>
  <si>
    <t>Комментарий</t>
  </si>
  <si>
    <t>Смена ВРИ / земельные права</t>
  </si>
  <si>
    <t>млн ₽</t>
  </si>
  <si>
    <t>4 100,0</t>
  </si>
  <si>
    <t>Актуальное значение ВРИ по указанию пользователя; вместо ранее использованных 2 832,3 млн ₽ и 6 105,76 млн ₽ из старой ФМ</t>
  </si>
  <si>
    <t>Офисы / МФК — ГНС</t>
  </si>
  <si>
    <t>м²</t>
  </si>
  <si>
    <t>31 167</t>
  </si>
  <si>
    <t>Старая ФМ: строка «Прочие / МФК»</t>
  </si>
  <si>
    <t>Офисы / МФК — продаваемая</t>
  </si>
  <si>
    <t>15 583,5</t>
  </si>
  <si>
    <t>Старая ФМ: k выхода 0,5</t>
  </si>
  <si>
    <t>Подземный паркинг — количество</t>
  </si>
  <si>
    <t>2 289</t>
  </si>
  <si>
    <t>Точное количество людей</t>
  </si>
  <si>
    <t>Подземный паркинг — площадь</t>
  </si>
  <si>
    <t>74 559,4</t>
  </si>
  <si>
    <t>Важно: текущий web hard-rule 35 м²/м/м даст 80 115 м² — это НЕ как у людей</t>
  </si>
  <si>
    <t>Кладовые — количество</t>
  </si>
  <si>
    <t>833,3</t>
  </si>
  <si>
    <t>Старая ФМ</t>
  </si>
  <si>
    <t>Кладовые — площадь</t>
  </si>
  <si>
    <t>5 555,6</t>
  </si>
  <si>
    <t>Выделена из исходных 80 115 м² подземной площади</t>
  </si>
  <si>
    <t>1 500</t>
  </si>
  <si>
    <t>425</t>
  </si>
  <si>
    <t>Старая ФМ; исходный расчёт потребности даёт 464,295 / 465</t>
  </si>
  <si>
    <t>675</t>
  </si>
  <si>
    <t>Старая ФМ; исходный расчёт потребности даёт 964,305 / 975</t>
  </si>
  <si>
    <t>пос./смену</t>
  </si>
  <si>
    <t>0</t>
  </si>
  <si>
    <t>Старая ФМ; исходный расчёт потребности даёт 126,788 / 127</t>
  </si>
  <si>
    <t>Соцстроительство — всего</t>
  </si>
  <si>
    <t>3 193,75</t>
  </si>
  <si>
    <t>425×2,75 + 675×3,0</t>
  </si>
  <si>
    <t>Исходный расчёт 200 тыс.</t>
  </si>
  <si>
    <t>ФМ людей</t>
  </si>
  <si>
    <t>Берём для benchmark</t>
  </si>
  <si>
    <t>Отклонение</t>
  </si>
  <si>
    <t>Площадь квартир, м²</t>
  </si>
  <si>
    <t>Совпадает</t>
  </si>
  <si>
    <t>Население, чел.</t>
  </si>
  <si>
    <t>Из исходного расчёта</t>
  </si>
  <si>
    <t>ДОУ, мест</t>
  </si>
  <si>
    <t>Люди использовали меньшую мощность</t>
  </si>
  <si>
    <t>СОШ, мест</t>
  </si>
  <si>
    <t>Поликлиника, пос./смену</t>
  </si>
  <si>
    <t>В старой ФМ не строилась</t>
  </si>
  <si>
    <t>Постоянные м/м</t>
  </si>
  <si>
    <t>Совпадает по количеству</t>
  </si>
  <si>
    <t>Подземная площадь по нормативу 35 м²/м/м</t>
  </si>
  <si>
    <t>Разница = площадь кладовых, выделенная людьми отдельно</t>
  </si>
  <si>
    <t>Кладовые, шт.</t>
  </si>
  <si>
    <t>Добавлены в старой ФМ</t>
  </si>
  <si>
    <t>МФК / Прочие — ГНС, м²</t>
  </si>
  <si>
    <t>Старая ФМ использует больший объём</t>
  </si>
  <si>
    <t>МФК / Прочие — продаваемая, м²</t>
  </si>
  <si>
    <t>k выхода 0,5</t>
  </si>
  <si>
    <t>ВРИ / земельные права, млн ₽</t>
  </si>
  <si>
    <t>По указанию пользователя для benchmark используется актуальный ВРИ 4 100 млн ₽</t>
  </si>
  <si>
    <t>Мытищи — benchmark ТЭП «как у людей»</t>
  </si>
  <si>
    <t>Назначение</t>
  </si>
  <si>
    <t>Файл собран для проверки web-модели против старой человеческой ФМ Мытищи.</t>
  </si>
  <si>
    <t>Лист ТЭП</t>
  </si>
  <si>
    <t>Совместим по структуре с импортом web/ГлавАПУ. В него внесены квартиры, коммерция 1 этажа, соцобъекты и количество паркинга по старой ФМ. ВРИ установлен 4 100 млн ₽ по актуальному значению пользователя.</t>
  </si>
  <si>
    <t>Лист ТЭП_люди</t>
  </si>
  <si>
    <t>Точные агрегированные ТЭП из листа «ТЭП» человеческой ФМ.</t>
  </si>
  <si>
    <t>Лист Доп_вводные_web</t>
  </si>
  <si>
    <t>Параметры, которые текущий импорт не может корректно восстановить автоматически: МФК/офисы, кладовые и точная площадь подземного паркинга.</t>
  </si>
  <si>
    <t>Критическое ограничение паркинга</t>
  </si>
  <si>
    <t>Текущий web жёстко считает 35 м² × 2 289 = 80 115 м² как площадь паркинга. У людей 80 115 м² были разделены на 74 559,4 м² паркинга + 5 555,6 м² кладовых. Поэтому для точного benchmark нужен ручной ввод/изменение правила.</t>
  </si>
  <si>
    <t>Исходный расчёт потребности даёт 465 мест ДОУ, 975 мест СОШ и 127 посещений/смену поликлиники. Старая ФМ людей использовала 425 / 675 / 0. Для benchmark используются именно значения людей.</t>
  </si>
  <si>
    <t>Источники</t>
  </si>
  <si>
    <t>1) ФМ_Мытищи_v1.3_2026.06.15(2).xlsx; 2) Расчет потребностей для 200 тыс кв м.xlsx; 3) актуальное значение пользователя — ВРИ 4 100 млн 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</si>
</sst>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(#,##0.000\);\-"/>
    <numFmt numFmtId="165" formatCode="#,##0.0;[Red]\(#,##0.0\);\-"/>
  </numFmts>
  <fonts count="7" x14ac:knownFonts="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4E78"/>
      </patternFill>
    </fill>
    <fill>
      <patternFill patternType="solid">
        <fgColor rgb="FFFFF3BF"/>
      </patternFill>
    </fill>
    <fill>
      <patternFill patternType="solid">
        <fgColor rgb="FFFFF7ED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164" fontId="2" fillId="0" borderId="0" xfId="1" applyNumberFormat="1" applyFont="1" applyAlignment="1">
      <alignment vertical="center" wrapText="1"/>
    </xf>
    <xf numFmtId="0" fontId="1" fillId="3" borderId="0" xfId="1" applyFont="1" applyFill="1" applyAlignment="1">
      <alignment horizontal="left" vertical="center" wrapText="1"/>
    </xf>
    <xf numFmtId="164" fontId="1" fillId="3" borderId="0" xfId="1" applyNumberFormat="1" applyFont="1" applyFill="1" applyAlignment="1">
      <alignment horizontal="left" vertical="center" wrapText="1"/>
    </xf>
    <xf numFmtId="0" fontId="0" fillId="4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164" fontId="3" fillId="4" borderId="0" xfId="1" applyNumberFormat="1" applyFont="1" applyFill="1" applyAlignment="1">
      <alignment vertical="center" wrapText="1"/>
    </xf>
    <xf numFmtId="164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/>
    </xf>
    <xf numFmtId="165" fontId="0" fillId="4" borderId="0" xfId="1" applyNumberFormat="1" applyFont="1" applyFill="1" applyAlignment="1">
      <alignment vertical="center" wrapText="1"/>
    </xf>
    <xf numFmtId="0" fontId="0" fillId="5" borderId="0" xfId="1" applyFont="1" applyFill="1" applyAlignment="1">
      <alignment vertical="center" wrapText="1"/>
    </xf>
    <xf numFmtId="165" fontId="0" fillId="5" borderId="0" xfId="1" applyNumberFormat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6" borderId="0" xfId="1" applyFont="1" applyFill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4" fillId="2" borderId="0" xfId="1" applyFont="1" applyFill="1" applyAlignment="1">
      <alignment horizontal="left" vertic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Normal="100" zoomScaleSheetLayoutView="100" workbookViewId="0"/>
  </sheetViews>
  <sheetFormatPr defaultRowHeight="15" x14ac:dyDescent="0.2"/>
  <cols>
    <col min="1" max="1" width="9.953125" customWidth="1"/>
    <col min="2" max="2" width="52.05859375" customWidth="1"/>
    <col min="3" max="3" width="22.05859375" customWidth="1"/>
    <col min="4" max="4" width="18.0234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</row>
    <row r="2" spans="1:10" x14ac:dyDescent="0.2">
      <c r="A2" s="3">
        <v>1</v>
      </c>
      <c r="B2" s="3" t="s">
        <v>4</v>
      </c>
      <c r="C2" s="3" t="s">
        <v>5</v>
      </c>
      <c r="D2" s="4">
        <v>22.89</v>
      </c>
      <c r="E2" s="2"/>
      <c r="F2" s="2"/>
      <c r="G2" s="2"/>
      <c r="H2" s="2"/>
      <c r="I2" s="2"/>
      <c r="J2" s="2"/>
    </row>
    <row r="3" spans="1:10" x14ac:dyDescent="0.2">
      <c r="A3" s="3">
        <v>2</v>
      </c>
      <c r="B3" s="3" t="s">
        <v>6</v>
      </c>
      <c r="C3" s="3" t="s">
        <v>7</v>
      </c>
      <c r="D3" s="4">
        <f>D8/D2</f>
        <v>14.315421581476627</v>
      </c>
      <c r="E3" s="2"/>
      <c r="F3" s="2"/>
      <c r="G3" s="2"/>
      <c r="H3" s="2"/>
      <c r="I3" s="2"/>
      <c r="J3" s="2"/>
    </row>
    <row r="4" spans="1:10" x14ac:dyDescent="0.2">
      <c r="A4" s="3">
        <v>3</v>
      </c>
      <c r="B4" s="3" t="s">
        <v>8</v>
      </c>
      <c r="C4" s="3" t="s">
        <v>7</v>
      </c>
      <c r="D4" s="4">
        <f>D16/D2</f>
        <v>12.947706422018348</v>
      </c>
      <c r="E4" s="2"/>
      <c r="F4" s="2"/>
      <c r="G4" s="2"/>
      <c r="H4" s="2"/>
      <c r="I4" s="2"/>
      <c r="J4" s="2"/>
    </row>
    <row r="5" spans="1:10" x14ac:dyDescent="0.2">
      <c r="A5" s="3">
        <v>4</v>
      </c>
      <c r="B5" s="3" t="s">
        <v>9</v>
      </c>
      <c r="C5" s="3" t="s">
        <v>10</v>
      </c>
      <c r="D5" s="4">
        <v>7143</v>
      </c>
      <c r="E5" s="2"/>
      <c r="F5" s="2"/>
      <c r="G5" s="2"/>
      <c r="H5" s="2"/>
      <c r="I5" s="2"/>
      <c r="J5" s="2"/>
    </row>
    <row r="6" spans="1:10" x14ac:dyDescent="0.2">
      <c r="A6" s="3">
        <v>5</v>
      </c>
      <c r="B6" s="3" t="s">
        <v>11</v>
      </c>
      <c r="C6" s="3" t="s">
        <v>12</v>
      </c>
      <c r="D6" s="4">
        <v>3333.333333333333</v>
      </c>
      <c r="E6" s="2"/>
      <c r="F6" s="2"/>
      <c r="G6" s="2"/>
      <c r="H6" s="2"/>
      <c r="I6" s="2"/>
      <c r="J6" s="2"/>
    </row>
    <row r="7" spans="1:10" x14ac:dyDescent="0.2">
      <c r="A7" s="3"/>
      <c r="B7" s="3" t="s">
        <v>13</v>
      </c>
      <c r="C7" s="3"/>
      <c r="D7" s="4"/>
      <c r="E7" s="2"/>
      <c r="F7" s="2"/>
      <c r="G7" s="2"/>
      <c r="H7" s="2"/>
      <c r="I7" s="2"/>
      <c r="J7" s="2"/>
    </row>
    <row r="8" spans="1:10" x14ac:dyDescent="0.2">
      <c r="A8" s="3">
        <v>6</v>
      </c>
      <c r="B8" s="3" t="s">
        <v>14</v>
      </c>
      <c r="C8" s="3" t="s">
        <v>15</v>
      </c>
      <c r="D8" s="4">
        <v>327.68</v>
      </c>
      <c r="E8" s="2"/>
      <c r="F8" s="2"/>
      <c r="G8" s="2"/>
      <c r="H8" s="2"/>
      <c r="I8" s="2"/>
      <c r="J8" s="2"/>
    </row>
    <row r="9" spans="1:10" x14ac:dyDescent="0.2">
      <c r="A9" s="3">
        <v>7</v>
      </c>
      <c r="B9" s="3" t="s">
        <v>16</v>
      </c>
      <c r="C9" s="3" t="s">
        <v>15</v>
      </c>
      <c r="D9" s="4">
        <v>313.07</v>
      </c>
      <c r="E9" s="2"/>
      <c r="F9" s="2"/>
      <c r="G9" s="2"/>
      <c r="H9" s="2"/>
      <c r="I9" s="2"/>
      <c r="J9" s="2"/>
    </row>
    <row r="10" spans="1:10" x14ac:dyDescent="0.2">
      <c r="A10" s="3" t="s">
        <v>17</v>
      </c>
      <c r="B10" s="3" t="s">
        <v>18</v>
      </c>
      <c r="C10" s="3" t="s">
        <v>15</v>
      </c>
      <c r="D10" s="4">
        <v>294.11799999999999</v>
      </c>
      <c r="E10" s="2"/>
      <c r="F10" s="2"/>
      <c r="G10" s="2"/>
      <c r="H10" s="2"/>
      <c r="I10" s="2"/>
      <c r="J10" s="2"/>
    </row>
    <row r="11" spans="1:10" x14ac:dyDescent="0.2">
      <c r="A11" s="3" t="s">
        <v>19</v>
      </c>
      <c r="B11" s="3" t="s">
        <v>20</v>
      </c>
      <c r="C11" s="3" t="s">
        <v>15</v>
      </c>
      <c r="D11" s="4">
        <v>18.952000000000002</v>
      </c>
      <c r="E11" s="2"/>
      <c r="F11" s="2"/>
      <c r="G11" s="2"/>
      <c r="H11" s="2"/>
      <c r="I11" s="2"/>
      <c r="J11" s="2"/>
    </row>
    <row r="12" spans="1:10" x14ac:dyDescent="0.2">
      <c r="A12" s="3">
        <v>8</v>
      </c>
      <c r="B12" s="3" t="s">
        <v>21</v>
      </c>
      <c r="C12" s="3" t="s">
        <v>15</v>
      </c>
      <c r="D12" s="4">
        <v>14.61</v>
      </c>
      <c r="E12" s="2"/>
      <c r="F12" s="2"/>
      <c r="G12" s="2"/>
      <c r="H12" s="2"/>
      <c r="I12" s="2"/>
      <c r="J12" s="2"/>
    </row>
    <row r="13" spans="1:10" x14ac:dyDescent="0.2">
      <c r="A13" s="3" t="s">
        <v>22</v>
      </c>
      <c r="B13" s="3" t="s">
        <v>23</v>
      </c>
      <c r="C13" s="3" t="s">
        <v>15</v>
      </c>
      <c r="D13" s="4">
        <v>0</v>
      </c>
      <c r="E13" s="2"/>
      <c r="F13" s="2"/>
      <c r="G13" s="2"/>
      <c r="H13" s="2"/>
      <c r="I13" s="2"/>
      <c r="J13" s="2"/>
    </row>
    <row r="14" spans="1:10" x14ac:dyDescent="0.2">
      <c r="A14" s="3" t="s">
        <v>24</v>
      </c>
      <c r="B14" s="3" t="s">
        <v>25</v>
      </c>
      <c r="C14" s="3" t="s">
        <v>15</v>
      </c>
      <c r="D14" s="4">
        <v>14.61</v>
      </c>
      <c r="E14" s="2"/>
      <c r="F14" s="2"/>
      <c r="G14" s="2"/>
      <c r="H14" s="2"/>
      <c r="I14" s="2"/>
      <c r="J14" s="2"/>
    </row>
    <row r="15" spans="1:10" x14ac:dyDescent="0.2">
      <c r="A15" s="3"/>
      <c r="B15" s="3" t="s">
        <v>26</v>
      </c>
      <c r="C15" s="3"/>
      <c r="D15" s="4"/>
      <c r="E15" s="2"/>
      <c r="F15" s="2"/>
      <c r="G15" s="2"/>
      <c r="H15" s="2"/>
      <c r="I15" s="2"/>
      <c r="J15" s="2"/>
    </row>
    <row r="16" spans="1:10" x14ac:dyDescent="0.2">
      <c r="A16" s="3">
        <v>9</v>
      </c>
      <c r="B16" s="3" t="s">
        <v>27</v>
      </c>
      <c r="C16" s="3" t="s">
        <v>15</v>
      </c>
      <c r="D16" s="4">
        <v>296.37299999999999</v>
      </c>
      <c r="E16" s="2"/>
      <c r="F16" s="2"/>
      <c r="G16" s="2"/>
      <c r="H16" s="2"/>
      <c r="I16" s="2"/>
      <c r="J16" s="2"/>
    </row>
    <row r="17" spans="1:10" x14ac:dyDescent="0.2">
      <c r="A17" s="3" t="s">
        <v>28</v>
      </c>
      <c r="B17" s="3" t="s">
        <v>29</v>
      </c>
      <c r="C17" s="3" t="s">
        <v>15</v>
      </c>
      <c r="D17" s="4">
        <v>281.76299999999998</v>
      </c>
      <c r="E17" s="2"/>
      <c r="F17" s="2"/>
      <c r="G17" s="2"/>
      <c r="H17" s="2"/>
      <c r="I17" s="2"/>
      <c r="J17" s="2"/>
    </row>
    <row r="18" spans="1:10" x14ac:dyDescent="0.2">
      <c r="A18" s="3" t="s">
        <v>30</v>
      </c>
      <c r="B18" s="3" t="s">
        <v>31</v>
      </c>
      <c r="C18" s="3" t="s">
        <v>15</v>
      </c>
      <c r="D18" s="4">
        <v>264.70620000000002</v>
      </c>
      <c r="E18" s="2"/>
      <c r="F18" s="2"/>
      <c r="G18" s="2"/>
      <c r="H18" s="2"/>
      <c r="I18" s="2"/>
      <c r="J18" s="2"/>
    </row>
    <row r="19" spans="1:10" x14ac:dyDescent="0.2">
      <c r="A19" s="3" t="s">
        <v>32</v>
      </c>
      <c r="B19" s="3" t="s">
        <v>33</v>
      </c>
      <c r="C19" s="3" t="s">
        <v>15</v>
      </c>
      <c r="D19" s="4">
        <v>17.056799999999999</v>
      </c>
      <c r="E19" s="2"/>
      <c r="F19" s="2"/>
      <c r="G19" s="2"/>
      <c r="H19" s="2"/>
      <c r="I19" s="2"/>
      <c r="J19" s="2"/>
    </row>
    <row r="20" spans="1:10" x14ac:dyDescent="0.2">
      <c r="A20" s="3" t="s">
        <v>34</v>
      </c>
      <c r="B20" s="3" t="s">
        <v>35</v>
      </c>
      <c r="C20" s="3" t="s">
        <v>15</v>
      </c>
      <c r="D20" s="4">
        <v>14.61</v>
      </c>
      <c r="E20" s="2"/>
      <c r="F20" s="2"/>
      <c r="G20" s="2"/>
      <c r="H20" s="2"/>
      <c r="I20" s="2"/>
      <c r="J20" s="2"/>
    </row>
    <row r="21" spans="1:10" x14ac:dyDescent="0.2">
      <c r="A21" s="3" t="s">
        <v>36</v>
      </c>
      <c r="B21" s="3" t="s">
        <v>37</v>
      </c>
      <c r="C21" s="3" t="s">
        <v>15</v>
      </c>
      <c r="D21" s="4">
        <v>0</v>
      </c>
      <c r="E21" s="2"/>
      <c r="F21" s="2"/>
      <c r="G21" s="2"/>
      <c r="H21" s="2"/>
      <c r="I21" s="2"/>
      <c r="J21" s="2"/>
    </row>
    <row r="22" spans="1:10" x14ac:dyDescent="0.2">
      <c r="A22" s="3" t="s">
        <v>38</v>
      </c>
      <c r="B22" s="3" t="s">
        <v>39</v>
      </c>
      <c r="C22" s="3" t="s">
        <v>15</v>
      </c>
      <c r="D22" s="4">
        <v>14.61</v>
      </c>
      <c r="E22" s="2"/>
      <c r="F22" s="2"/>
      <c r="G22" s="2"/>
      <c r="H22" s="2"/>
      <c r="I22" s="2"/>
      <c r="J22" s="2"/>
    </row>
    <row r="23" spans="1:10" x14ac:dyDescent="0.2">
      <c r="A23" s="3"/>
      <c r="B23" s="3" t="s">
        <v>40</v>
      </c>
      <c r="C23" s="3"/>
      <c r="D23" s="4"/>
      <c r="E23" s="2"/>
      <c r="F23" s="2"/>
      <c r="G23" s="2"/>
      <c r="H23" s="2"/>
      <c r="I23" s="2"/>
      <c r="J23" s="2"/>
    </row>
    <row r="24" spans="1:10" x14ac:dyDescent="0.2">
      <c r="A24" s="3">
        <v>10</v>
      </c>
      <c r="B24" s="3" t="s">
        <v>41</v>
      </c>
      <c r="C24" s="3" t="s">
        <v>15</v>
      </c>
      <c r="D24" s="4">
        <v>200</v>
      </c>
      <c r="E24" s="2"/>
      <c r="F24" s="2"/>
      <c r="G24" s="2"/>
      <c r="H24" s="2"/>
      <c r="I24" s="2"/>
      <c r="J24" s="2"/>
    </row>
    <row r="25" spans="1:10" ht="27.75" x14ac:dyDescent="0.2">
      <c r="A25" s="3">
        <v>11</v>
      </c>
      <c r="B25" s="3" t="s">
        <v>42</v>
      </c>
      <c r="C25" s="3" t="s">
        <v>15</v>
      </c>
      <c r="D25" s="4">
        <v>15.35112</v>
      </c>
      <c r="E25" s="2"/>
      <c r="F25" s="2"/>
      <c r="G25" s="2"/>
      <c r="H25" s="2"/>
      <c r="I25" s="2"/>
      <c r="J25" s="2"/>
    </row>
    <row r="26" spans="1:10" x14ac:dyDescent="0.2">
      <c r="A26" s="3"/>
      <c r="B26" s="3" t="s">
        <v>43</v>
      </c>
      <c r="C26" s="3"/>
      <c r="D26" s="4"/>
      <c r="E26" s="2"/>
      <c r="F26" s="2"/>
      <c r="G26" s="2"/>
      <c r="H26" s="2"/>
      <c r="I26" s="2"/>
      <c r="J26" s="2"/>
    </row>
    <row r="27" spans="1:10" x14ac:dyDescent="0.2">
      <c r="A27" s="3">
        <v>12</v>
      </c>
      <c r="B27" s="3" t="s">
        <v>44</v>
      </c>
      <c r="C27" s="3" t="s">
        <v>5</v>
      </c>
      <c r="D27" s="4"/>
      <c r="E27" s="2"/>
      <c r="F27" s="2"/>
      <c r="G27" s="2"/>
      <c r="H27" s="2"/>
      <c r="I27" s="2"/>
      <c r="J27" s="2"/>
    </row>
    <row r="28" spans="1:10" x14ac:dyDescent="0.2">
      <c r="A28" s="3" t="s">
        <v>45</v>
      </c>
      <c r="B28" s="3" t="s">
        <v>46</v>
      </c>
      <c r="C28" s="3" t="s">
        <v>5</v>
      </c>
      <c r="D28" s="4"/>
      <c r="E28" s="2"/>
      <c r="F28" s="2"/>
      <c r="G28" s="2"/>
      <c r="H28" s="2"/>
      <c r="I28" s="2"/>
      <c r="J28" s="2"/>
    </row>
    <row r="29" spans="1:10" x14ac:dyDescent="0.2">
      <c r="A29" s="3" t="s">
        <v>47</v>
      </c>
      <c r="B29" s="3" t="s">
        <v>48</v>
      </c>
      <c r="C29" s="3" t="s">
        <v>5</v>
      </c>
      <c r="D29" s="4"/>
      <c r="E29" s="2"/>
      <c r="F29" s="2"/>
      <c r="G29" s="2"/>
      <c r="H29" s="2"/>
      <c r="I29" s="2"/>
      <c r="J29" s="2"/>
    </row>
    <row r="30" spans="1:10" x14ac:dyDescent="0.2">
      <c r="A30" s="3">
        <v>13</v>
      </c>
      <c r="B30" s="3" t="s">
        <v>49</v>
      </c>
      <c r="C30" s="3" t="s">
        <v>5</v>
      </c>
      <c r="D30" s="4">
        <v>4.7895000000000003</v>
      </c>
      <c r="E30" s="2"/>
      <c r="F30" s="2"/>
      <c r="G30" s="2"/>
      <c r="H30" s="2"/>
      <c r="I30" s="2"/>
      <c r="J30" s="2"/>
    </row>
    <row r="31" spans="1:10" x14ac:dyDescent="0.2">
      <c r="A31" s="3">
        <v>14</v>
      </c>
      <c r="B31" s="3" t="s">
        <v>50</v>
      </c>
      <c r="C31" s="3" t="s">
        <v>5</v>
      </c>
      <c r="D31" s="4">
        <v>0.89</v>
      </c>
      <c r="E31" s="2"/>
      <c r="F31" s="2"/>
      <c r="G31" s="2"/>
      <c r="H31" s="2"/>
      <c r="I31" s="2"/>
      <c r="J31" s="2"/>
    </row>
    <row r="32" spans="1:10" x14ac:dyDescent="0.2">
      <c r="A32" s="3"/>
      <c r="B32" s="3" t="s">
        <v>51</v>
      </c>
      <c r="C32" s="3"/>
      <c r="D32" s="4"/>
      <c r="E32" s="2"/>
      <c r="F32" s="2"/>
      <c r="G32" s="2"/>
      <c r="H32" s="2"/>
      <c r="I32" s="2"/>
      <c r="J32" s="2"/>
    </row>
    <row r="33" spans="1:10" x14ac:dyDescent="0.2">
      <c r="A33" s="3">
        <v>15</v>
      </c>
      <c r="B33" s="3" t="s">
        <v>52</v>
      </c>
      <c r="C33" s="3" t="s">
        <v>7</v>
      </c>
      <c r="D33" s="4"/>
      <c r="E33" s="2"/>
      <c r="F33" s="2"/>
      <c r="G33" s="2"/>
      <c r="H33" s="2"/>
      <c r="I33" s="2"/>
      <c r="J33" s="2"/>
    </row>
    <row r="34" spans="1:10" x14ac:dyDescent="0.2">
      <c r="A34" s="3">
        <v>16</v>
      </c>
      <c r="B34" s="3" t="s">
        <v>53</v>
      </c>
      <c r="C34" s="3" t="s">
        <v>7</v>
      </c>
      <c r="D34" s="4"/>
      <c r="E34" s="2"/>
      <c r="F34" s="2"/>
      <c r="G34" s="2"/>
      <c r="H34" s="2"/>
      <c r="I34" s="2"/>
      <c r="J34" s="2"/>
    </row>
    <row r="35" spans="1:10" x14ac:dyDescent="0.2">
      <c r="A35" s="3">
        <v>17</v>
      </c>
      <c r="B35" s="3" t="s">
        <v>54</v>
      </c>
      <c r="C35" s="3" t="s">
        <v>7</v>
      </c>
      <c r="D35" s="4"/>
      <c r="E35" s="2"/>
      <c r="F35" s="2"/>
      <c r="G35" s="2"/>
      <c r="H35" s="2"/>
      <c r="I35" s="2"/>
      <c r="J35" s="2"/>
    </row>
    <row r="36" spans="1:10" x14ac:dyDescent="0.2">
      <c r="A36" s="5"/>
      <c r="B36" s="5" t="s">
        <v>55</v>
      </c>
      <c r="C36" s="5"/>
      <c r="D36" s="6"/>
      <c r="E36" s="2"/>
      <c r="F36" s="2"/>
      <c r="G36" s="2"/>
      <c r="H36" s="2"/>
      <c r="I36" s="2"/>
      <c r="J36" s="2"/>
    </row>
    <row r="37" spans="1:10" x14ac:dyDescent="0.2">
      <c r="A37" s="3">
        <v>18</v>
      </c>
      <c r="B37" s="3" t="s">
        <v>56</v>
      </c>
      <c r="C37" s="3" t="s">
        <v>57</v>
      </c>
      <c r="D37" s="4">
        <v>425</v>
      </c>
      <c r="E37" s="2"/>
      <c r="F37" s="2"/>
      <c r="G37" s="2"/>
      <c r="H37" s="2"/>
      <c r="I37" s="2"/>
      <c r="J37" s="2"/>
    </row>
    <row r="38" spans="1:10" x14ac:dyDescent="0.2">
      <c r="A38" s="3">
        <v>19</v>
      </c>
      <c r="B38" s="3" t="s">
        <v>58</v>
      </c>
      <c r="C38" s="3" t="s">
        <v>15</v>
      </c>
      <c r="D38" s="4">
        <v>6.51</v>
      </c>
      <c r="E38" s="2"/>
      <c r="F38" s="2"/>
      <c r="G38" s="2"/>
      <c r="H38" s="2"/>
      <c r="I38" s="2"/>
      <c r="J38" s="2"/>
    </row>
    <row r="39" spans="1:10" x14ac:dyDescent="0.2">
      <c r="A39" s="3">
        <v>20</v>
      </c>
      <c r="B39" s="3" t="s">
        <v>59</v>
      </c>
      <c r="C39" s="3" t="s">
        <v>15</v>
      </c>
      <c r="D39" s="4">
        <v>6.51</v>
      </c>
      <c r="E39" s="2"/>
      <c r="F39" s="2"/>
      <c r="G39" s="2"/>
      <c r="H39" s="2"/>
      <c r="I39" s="2"/>
      <c r="J39" s="2"/>
    </row>
    <row r="40" spans="1:10" x14ac:dyDescent="0.2">
      <c r="A40" s="3">
        <v>21</v>
      </c>
      <c r="B40" s="3" t="s">
        <v>60</v>
      </c>
      <c r="C40" s="3" t="s">
        <v>5</v>
      </c>
      <c r="D40" s="4">
        <v>1.7669999999999999</v>
      </c>
      <c r="E40" s="2"/>
      <c r="F40" s="2"/>
      <c r="G40" s="2"/>
      <c r="H40" s="2"/>
      <c r="I40" s="2"/>
      <c r="J40" s="2"/>
    </row>
    <row r="41" spans="1:10" x14ac:dyDescent="0.2">
      <c r="A41" s="5"/>
      <c r="B41" s="5" t="s">
        <v>61</v>
      </c>
      <c r="C41" s="5"/>
      <c r="D41" s="6"/>
      <c r="E41" s="2"/>
      <c r="F41" s="2"/>
      <c r="G41" s="2"/>
      <c r="H41" s="2"/>
      <c r="I41" s="2"/>
      <c r="J41" s="2"/>
    </row>
    <row r="42" spans="1:10" x14ac:dyDescent="0.2">
      <c r="A42" s="3">
        <v>22</v>
      </c>
      <c r="B42" s="3" t="s">
        <v>56</v>
      </c>
      <c r="C42" s="3" t="s">
        <v>57</v>
      </c>
      <c r="D42" s="4">
        <v>675</v>
      </c>
      <c r="E42" s="2"/>
      <c r="F42" s="2"/>
      <c r="G42" s="2"/>
      <c r="H42" s="2"/>
      <c r="I42" s="2"/>
      <c r="J42" s="2"/>
    </row>
    <row r="43" spans="1:10" x14ac:dyDescent="0.2">
      <c r="A43" s="3">
        <v>23</v>
      </c>
      <c r="B43" s="3" t="s">
        <v>58</v>
      </c>
      <c r="C43" s="3" t="s">
        <v>15</v>
      </c>
      <c r="D43" s="4">
        <v>8.1</v>
      </c>
      <c r="E43" s="2"/>
      <c r="F43" s="2"/>
      <c r="G43" s="2"/>
      <c r="H43" s="2"/>
      <c r="I43" s="2"/>
      <c r="J43" s="2"/>
    </row>
    <row r="44" spans="1:10" x14ac:dyDescent="0.2">
      <c r="A44" s="3">
        <v>24</v>
      </c>
      <c r="B44" s="3" t="s">
        <v>59</v>
      </c>
      <c r="C44" s="3" t="s">
        <v>15</v>
      </c>
      <c r="D44" s="4">
        <v>8.1</v>
      </c>
      <c r="E44" s="2"/>
      <c r="F44" s="2"/>
      <c r="G44" s="2"/>
      <c r="H44" s="2"/>
      <c r="I44" s="2"/>
      <c r="J44" s="2"/>
    </row>
    <row r="45" spans="1:10" x14ac:dyDescent="0.2">
      <c r="A45" s="3">
        <v>25</v>
      </c>
      <c r="B45" s="3" t="s">
        <v>60</v>
      </c>
      <c r="C45" s="3" t="s">
        <v>5</v>
      </c>
      <c r="D45" s="4">
        <v>3.0225</v>
      </c>
      <c r="E45" s="2"/>
      <c r="F45" s="2"/>
      <c r="G45" s="2"/>
      <c r="H45" s="2"/>
      <c r="I45" s="2"/>
      <c r="J45" s="2"/>
    </row>
    <row r="46" spans="1:10" x14ac:dyDescent="0.2">
      <c r="A46" s="5"/>
      <c r="B46" s="5" t="s">
        <v>62</v>
      </c>
      <c r="C46" s="5"/>
      <c r="D46" s="6"/>
      <c r="E46" s="2"/>
      <c r="F46" s="2"/>
      <c r="G46" s="2"/>
      <c r="H46" s="2"/>
      <c r="I46" s="2"/>
      <c r="J46" s="2"/>
    </row>
    <row r="47" spans="1:10" x14ac:dyDescent="0.2">
      <c r="A47" s="3">
        <v>26</v>
      </c>
      <c r="B47" s="3" t="s">
        <v>63</v>
      </c>
      <c r="C47" s="3" t="s">
        <v>64</v>
      </c>
      <c r="D47" s="4">
        <v>0</v>
      </c>
      <c r="E47" s="2"/>
      <c r="F47" s="2"/>
      <c r="G47" s="2"/>
      <c r="H47" s="2"/>
      <c r="I47" s="2"/>
      <c r="J47" s="2"/>
    </row>
    <row r="48" spans="1:10" x14ac:dyDescent="0.2">
      <c r="A48" s="3">
        <v>27</v>
      </c>
      <c r="B48" s="3" t="s">
        <v>58</v>
      </c>
      <c r="C48" s="3" t="s">
        <v>15</v>
      </c>
      <c r="D48" s="4">
        <v>0</v>
      </c>
      <c r="E48" s="2"/>
      <c r="F48" s="2"/>
      <c r="G48" s="2"/>
      <c r="H48" s="2"/>
      <c r="I48" s="2"/>
      <c r="J48" s="2"/>
    </row>
    <row r="49" spans="1:10" x14ac:dyDescent="0.2">
      <c r="A49" s="3">
        <v>28</v>
      </c>
      <c r="B49" s="3" t="s">
        <v>59</v>
      </c>
      <c r="C49" s="3" t="s">
        <v>15</v>
      </c>
      <c r="D49" s="4">
        <v>0</v>
      </c>
      <c r="E49" s="2"/>
      <c r="F49" s="2"/>
      <c r="G49" s="2"/>
      <c r="H49" s="2"/>
      <c r="I49" s="2"/>
      <c r="J49" s="2"/>
    </row>
    <row r="50" spans="1:10" x14ac:dyDescent="0.2">
      <c r="A50" s="3">
        <v>29</v>
      </c>
      <c r="B50" s="3" t="s">
        <v>60</v>
      </c>
      <c r="C50" s="3" t="s">
        <v>5</v>
      </c>
      <c r="D50" s="4">
        <v>0</v>
      </c>
      <c r="E50" s="2"/>
      <c r="F50" s="2"/>
      <c r="G50" s="2"/>
      <c r="H50" s="2"/>
      <c r="I50" s="2"/>
      <c r="J50" s="2"/>
    </row>
    <row r="51" spans="1:10" x14ac:dyDescent="0.2">
      <c r="A51" s="5"/>
      <c r="B51" s="5" t="s">
        <v>65</v>
      </c>
      <c r="C51" s="5"/>
      <c r="D51" s="6"/>
      <c r="E51" s="2"/>
      <c r="F51" s="2"/>
      <c r="G51" s="2"/>
      <c r="H51" s="2"/>
      <c r="I51" s="2"/>
      <c r="J51" s="2"/>
    </row>
    <row r="52" spans="1:10" x14ac:dyDescent="0.2">
      <c r="A52" s="3">
        <v>30</v>
      </c>
      <c r="B52" s="3" t="s">
        <v>66</v>
      </c>
      <c r="C52" s="3" t="s">
        <v>57</v>
      </c>
      <c r="D52" s="4">
        <v>425</v>
      </c>
      <c r="E52" s="2"/>
      <c r="F52" s="2"/>
      <c r="G52" s="2"/>
      <c r="H52" s="2"/>
      <c r="I52" s="2"/>
      <c r="J52" s="2"/>
    </row>
    <row r="53" spans="1:10" x14ac:dyDescent="0.2">
      <c r="A53" s="3">
        <v>31</v>
      </c>
      <c r="B53" s="3" t="s">
        <v>67</v>
      </c>
      <c r="C53" s="3" t="s">
        <v>57</v>
      </c>
      <c r="D53" s="4">
        <v>675</v>
      </c>
      <c r="E53" s="2"/>
      <c r="F53" s="2"/>
      <c r="G53" s="2"/>
      <c r="H53" s="2"/>
      <c r="I53" s="2"/>
      <c r="J53" s="2"/>
    </row>
    <row r="54" spans="1:10" x14ac:dyDescent="0.2">
      <c r="A54" s="3">
        <v>32</v>
      </c>
      <c r="B54" s="3" t="s">
        <v>68</v>
      </c>
      <c r="C54" s="3" t="s">
        <v>64</v>
      </c>
      <c r="D54" s="4">
        <v>0</v>
      </c>
      <c r="E54" s="2"/>
      <c r="F54" s="2"/>
      <c r="G54" s="2"/>
      <c r="H54" s="2"/>
      <c r="I54" s="2"/>
      <c r="J54" s="2"/>
    </row>
    <row r="55" spans="1:10" x14ac:dyDescent="0.2">
      <c r="A55" s="3">
        <v>33</v>
      </c>
      <c r="B55" s="3" t="s">
        <v>69</v>
      </c>
      <c r="C55" s="3" t="s">
        <v>64</v>
      </c>
      <c r="D55" s="4">
        <v>0</v>
      </c>
      <c r="E55" s="2"/>
      <c r="F55" s="2"/>
      <c r="G55" s="2"/>
      <c r="H55" s="2"/>
      <c r="I55" s="2"/>
      <c r="J55" s="2"/>
    </row>
    <row r="56" spans="1:10" x14ac:dyDescent="0.2">
      <c r="A56" s="3">
        <v>34</v>
      </c>
      <c r="B56" s="3" t="s">
        <v>70</v>
      </c>
      <c r="C56" s="3" t="s">
        <v>64</v>
      </c>
      <c r="D56" s="4">
        <v>0</v>
      </c>
      <c r="E56" s="2"/>
      <c r="F56" s="2"/>
      <c r="G56" s="2"/>
      <c r="H56" s="2"/>
      <c r="I56" s="2"/>
      <c r="J56" s="2"/>
    </row>
    <row r="57" spans="1:10" x14ac:dyDescent="0.2">
      <c r="A57" s="5"/>
      <c r="B57" s="5" t="s">
        <v>71</v>
      </c>
      <c r="C57" s="5"/>
      <c r="D57" s="6"/>
      <c r="E57" s="2"/>
      <c r="F57" s="2"/>
      <c r="G57" s="2"/>
      <c r="H57" s="2"/>
      <c r="I57" s="2"/>
      <c r="J57" s="2"/>
    </row>
    <row r="58" spans="1:10" x14ac:dyDescent="0.2">
      <c r="A58" s="3" t="s">
        <v>72</v>
      </c>
      <c r="B58" s="3" t="s">
        <v>73</v>
      </c>
      <c r="C58" s="3" t="s">
        <v>74</v>
      </c>
      <c r="D58" s="4">
        <v>2289</v>
      </c>
      <c r="E58" s="2"/>
      <c r="F58" s="2"/>
      <c r="G58" s="2"/>
      <c r="H58" s="2"/>
      <c r="I58" s="2"/>
      <c r="J58" s="2"/>
    </row>
    <row r="59" spans="1:10" x14ac:dyDescent="0.2">
      <c r="A59" s="3" t="s">
        <v>75</v>
      </c>
      <c r="B59" s="3" t="s">
        <v>76</v>
      </c>
      <c r="C59" s="3" t="s">
        <v>74</v>
      </c>
      <c r="D59" s="4">
        <v>2289</v>
      </c>
      <c r="E59" s="2"/>
      <c r="F59" s="2"/>
      <c r="G59" s="2"/>
      <c r="H59" s="2"/>
      <c r="I59" s="2"/>
      <c r="J59" s="2"/>
    </row>
    <row r="60" spans="1:10" x14ac:dyDescent="0.2">
      <c r="A60" s="3" t="s">
        <v>77</v>
      </c>
      <c r="B60" s="3" t="s">
        <v>78</v>
      </c>
      <c r="C60" s="3" t="s">
        <v>74</v>
      </c>
      <c r="D60" s="4">
        <v>0</v>
      </c>
      <c r="E60" s="2"/>
      <c r="F60" s="2"/>
      <c r="G60" s="2"/>
      <c r="H60" s="2"/>
      <c r="I60" s="2"/>
      <c r="J60" s="2"/>
    </row>
    <row r="61" spans="1:10" x14ac:dyDescent="0.2">
      <c r="A61" s="3" t="s">
        <v>79</v>
      </c>
      <c r="B61" s="3" t="s">
        <v>80</v>
      </c>
      <c r="C61" s="3" t="s">
        <v>74</v>
      </c>
      <c r="D61" s="4">
        <v>0</v>
      </c>
      <c r="E61" s="2"/>
      <c r="F61" s="2"/>
      <c r="G61" s="2"/>
      <c r="H61" s="2"/>
      <c r="I61" s="2"/>
      <c r="J61" s="2"/>
    </row>
    <row r="62" spans="1:10" x14ac:dyDescent="0.2">
      <c r="A62" s="3" t="s">
        <v>81</v>
      </c>
      <c r="B62" s="3" t="s">
        <v>82</v>
      </c>
      <c r="C62" s="3" t="s">
        <v>74</v>
      </c>
      <c r="D62" s="4">
        <v>0</v>
      </c>
      <c r="E62" s="2"/>
      <c r="F62" s="2"/>
      <c r="G62" s="2"/>
      <c r="H62" s="2"/>
      <c r="I62" s="2"/>
      <c r="J62" s="2"/>
    </row>
    <row r="63" spans="1:10" x14ac:dyDescent="0.2">
      <c r="A63" s="3"/>
      <c r="B63" s="3" t="s">
        <v>83</v>
      </c>
      <c r="C63" s="3" t="s">
        <v>84</v>
      </c>
      <c r="D63" s="4">
        <v>4100</v>
      </c>
      <c r="E63" s="2"/>
      <c r="F63" s="2"/>
      <c r="G63" s="2"/>
      <c r="H63" s="2"/>
      <c r="I63" s="2"/>
      <c r="J63" s="2"/>
    </row>
    <row r="64" spans="1:10" x14ac:dyDescent="0.2">
      <c r="A64" s="7">
        <v>44</v>
      </c>
      <c r="B64" s="8" t="s">
        <v>85</v>
      </c>
      <c r="C64" s="8" t="s">
        <v>84</v>
      </c>
      <c r="D64" s="9">
        <v>4100</v>
      </c>
      <c r="E64" s="2"/>
      <c r="F64" s="2"/>
      <c r="G64" s="2"/>
      <c r="H64" s="2"/>
      <c r="I64" s="2"/>
      <c r="J64" s="2"/>
    </row>
    <row r="65" spans="1:10" x14ac:dyDescent="0.2">
      <c r="A65" s="3">
        <v>45</v>
      </c>
      <c r="B65" s="3" t="s">
        <v>86</v>
      </c>
      <c r="C65" s="3" t="s">
        <v>84</v>
      </c>
      <c r="D65" s="4">
        <v>0</v>
      </c>
      <c r="E65" s="2"/>
      <c r="F65" s="2"/>
      <c r="G65" s="2"/>
      <c r="H65" s="2"/>
      <c r="I65" s="2"/>
      <c r="J65" s="2"/>
    </row>
    <row r="66" spans="1:10" x14ac:dyDescent="0.2">
      <c r="A66" s="3">
        <v>46</v>
      </c>
      <c r="B66" s="3" t="s">
        <v>87</v>
      </c>
      <c r="C66" s="3" t="s">
        <v>84</v>
      </c>
      <c r="D66" s="4">
        <v>0</v>
      </c>
      <c r="E66" s="2"/>
      <c r="F66" s="2"/>
      <c r="G66" s="2"/>
      <c r="H66" s="2"/>
      <c r="I66" s="2"/>
      <c r="J66" s="2"/>
    </row>
    <row r="67" spans="1:10" x14ac:dyDescent="0.2">
      <c r="A67" s="3">
        <v>47</v>
      </c>
      <c r="B67" s="3" t="s">
        <v>88</v>
      </c>
      <c r="C67" s="3" t="s">
        <v>84</v>
      </c>
      <c r="D67" s="4">
        <v>0</v>
      </c>
      <c r="E67" s="2"/>
      <c r="F67" s="2"/>
      <c r="G67" s="2"/>
      <c r="H67" s="2"/>
      <c r="I67" s="2"/>
      <c r="J67" s="2"/>
    </row>
    <row r="68" spans="1:10" x14ac:dyDescent="0.2">
      <c r="A68" s="3">
        <v>48</v>
      </c>
      <c r="B68" s="3" t="s">
        <v>89</v>
      </c>
      <c r="C68" s="3" t="s">
        <v>84</v>
      </c>
      <c r="D68" s="4">
        <v>0</v>
      </c>
      <c r="E68" s="2"/>
      <c r="F68" s="2"/>
      <c r="G68" s="2"/>
      <c r="H68" s="2"/>
      <c r="I68" s="2"/>
      <c r="J68" s="2"/>
    </row>
    <row r="69" spans="1:10" x14ac:dyDescent="0.2">
      <c r="A69" s="3">
        <v>49</v>
      </c>
      <c r="B69" s="3" t="s">
        <v>90</v>
      </c>
      <c r="C69" s="3" t="s">
        <v>84</v>
      </c>
      <c r="D69" s="4">
        <v>0</v>
      </c>
      <c r="E69" s="2"/>
      <c r="F69" s="2"/>
      <c r="G69" s="2"/>
      <c r="H69" s="2"/>
      <c r="I69" s="2"/>
      <c r="J69" s="2"/>
    </row>
    <row r="70" spans="1:10" x14ac:dyDescent="0.2">
      <c r="A70" s="3">
        <v>50</v>
      </c>
      <c r="B70" s="3" t="s">
        <v>91</v>
      </c>
      <c r="C70" s="3" t="s">
        <v>84</v>
      </c>
      <c r="D70" s="4">
        <v>0</v>
      </c>
      <c r="E70" s="2"/>
      <c r="F70" s="2"/>
      <c r="G70" s="2"/>
      <c r="H70" s="2"/>
      <c r="I70" s="2"/>
      <c r="J70" s="2"/>
    </row>
    <row r="71" spans="1:10" x14ac:dyDescent="0.2">
      <c r="A71" s="3">
        <v>51</v>
      </c>
      <c r="B71" s="3" t="s">
        <v>92</v>
      </c>
      <c r="C71" s="3" t="s">
        <v>84</v>
      </c>
      <c r="D71" s="4">
        <v>0</v>
      </c>
      <c r="E71" s="2"/>
      <c r="F71" s="2"/>
      <c r="G71" s="2"/>
      <c r="H71" s="2"/>
      <c r="I71" s="2"/>
      <c r="J71" s="2"/>
    </row>
    <row r="72" spans="1:10" x14ac:dyDescent="0.2">
      <c r="A72" s="3">
        <v>52</v>
      </c>
      <c r="B72" s="3" t="s">
        <v>93</v>
      </c>
      <c r="C72" s="3" t="s">
        <v>84</v>
      </c>
      <c r="D72" s="4">
        <v>0</v>
      </c>
      <c r="E72" s="2"/>
      <c r="F72" s="2"/>
      <c r="G72" s="2"/>
      <c r="H72" s="2"/>
      <c r="I72" s="2"/>
      <c r="J72" s="2"/>
    </row>
    <row r="73" spans="1:10" x14ac:dyDescent="0.2">
      <c r="A73" s="3">
        <v>53</v>
      </c>
      <c r="B73" s="3" t="s">
        <v>94</v>
      </c>
      <c r="C73" s="3" t="s">
        <v>84</v>
      </c>
      <c r="D73" s="4">
        <v>0</v>
      </c>
      <c r="E73" s="2"/>
      <c r="F73" s="2"/>
      <c r="G73" s="2"/>
      <c r="H73" s="2"/>
      <c r="I73" s="2"/>
      <c r="J73" s="2"/>
    </row>
    <row r="74" spans="1:10" x14ac:dyDescent="0.2">
      <c r="A74" s="3"/>
      <c r="B74" s="3" t="s">
        <v>95</v>
      </c>
      <c r="C74" s="3" t="s">
        <v>84</v>
      </c>
      <c r="D74" s="4">
        <v>0</v>
      </c>
      <c r="E74" s="2"/>
      <c r="F74" s="2"/>
      <c r="G74" s="2"/>
      <c r="H74" s="2"/>
      <c r="I74" s="2"/>
      <c r="J74" s="2"/>
    </row>
    <row r="75" spans="1:10" x14ac:dyDescent="0.2">
      <c r="A75" s="3">
        <v>54</v>
      </c>
      <c r="B75" s="3" t="s">
        <v>66</v>
      </c>
      <c r="C75" s="3" t="s">
        <v>84</v>
      </c>
      <c r="D75" s="4">
        <v>0</v>
      </c>
      <c r="E75" s="2"/>
      <c r="F75" s="2"/>
      <c r="G75" s="2"/>
      <c r="H75" s="2"/>
      <c r="I75" s="2"/>
      <c r="J75" s="2"/>
    </row>
    <row r="76" spans="1:10" x14ac:dyDescent="0.2">
      <c r="A76" s="3">
        <v>55</v>
      </c>
      <c r="B76" s="3" t="s">
        <v>67</v>
      </c>
      <c r="C76" s="3" t="s">
        <v>84</v>
      </c>
      <c r="D76" s="4">
        <v>0</v>
      </c>
      <c r="E76" s="2"/>
      <c r="F76" s="2"/>
      <c r="G76" s="2"/>
      <c r="H76" s="2"/>
      <c r="I76" s="2"/>
      <c r="J76" s="2"/>
    </row>
    <row r="77" spans="1:10" x14ac:dyDescent="0.2">
      <c r="A77" s="3">
        <v>56</v>
      </c>
      <c r="B77" s="3" t="s">
        <v>96</v>
      </c>
      <c r="C77" s="3" t="s">
        <v>84</v>
      </c>
      <c r="D77" s="4">
        <v>0</v>
      </c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10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10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10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10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10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10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10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10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10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10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10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10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10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10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10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10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10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10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10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10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10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10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10"/>
      <c r="E100" s="2"/>
      <c r="F100" s="2"/>
      <c r="G100" s="2"/>
      <c r="H100" s="2"/>
      <c r="I100" s="2"/>
      <c r="J1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zoomScaleNormal="100" zoomScaleSheetLayoutView="100" workbookViewId="0"/>
  </sheetViews>
  <sheetFormatPr defaultRowHeight="15" x14ac:dyDescent="0.2"/>
  <cols>
    <col min="1" max="1" width="13.98828125" customWidth="1"/>
    <col min="2" max="2" width="29.99609375" customWidth="1"/>
    <col min="3" max="3" width="16.0078125" customWidth="1"/>
    <col min="4" max="4" width="20.04296875" customWidth="1"/>
    <col min="5" max="5" width="11.97265625" customWidth="1"/>
    <col min="6" max="6" width="20.04296875" customWidth="1"/>
    <col min="7" max="7" width="22.05859375" customWidth="1"/>
    <col min="8" max="8" width="18.0234375" customWidth="1"/>
    <col min="9" max="9" width="20.04296875" customWidth="1"/>
    <col min="10" max="10" width="45.0625" customWidth="1"/>
  </cols>
  <sheetData>
    <row r="1" spans="1:10" ht="27.75" x14ac:dyDescent="0.2">
      <c r="A1" s="1" t="s">
        <v>97</v>
      </c>
      <c r="B1" s="1" t="s">
        <v>3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 spans="1:10" x14ac:dyDescent="0.2">
      <c r="A2" s="3" t="s">
        <v>106</v>
      </c>
      <c r="B2" s="3" t="s">
        <v>106</v>
      </c>
      <c r="C2" s="11">
        <v>358847</v>
      </c>
      <c r="D2" s="11">
        <v>409155</v>
      </c>
      <c r="E2" s="11"/>
      <c r="F2" s="11">
        <v>230934.62</v>
      </c>
      <c r="G2" s="11">
        <v>230934.62</v>
      </c>
      <c r="H2" s="11">
        <v>0</v>
      </c>
      <c r="I2" s="11"/>
      <c r="J2" s="3" t="s">
        <v>107</v>
      </c>
    </row>
    <row r="3" spans="1:10" x14ac:dyDescent="0.2">
      <c r="A3" s="3" t="s">
        <v>108</v>
      </c>
      <c r="B3" s="3" t="s">
        <v>109</v>
      </c>
      <c r="C3" s="11">
        <v>344237</v>
      </c>
      <c r="D3" s="11">
        <v>394545</v>
      </c>
      <c r="E3" s="11"/>
      <c r="F3" s="11">
        <v>230934.62</v>
      </c>
      <c r="G3" s="11">
        <v>230934.62</v>
      </c>
      <c r="H3" s="11">
        <v>0</v>
      </c>
      <c r="I3" s="11"/>
      <c r="J3" s="3" t="s">
        <v>110</v>
      </c>
    </row>
    <row r="4" spans="1:10" x14ac:dyDescent="0.2">
      <c r="A4" s="3" t="s">
        <v>111</v>
      </c>
      <c r="B4" s="3" t="s">
        <v>112</v>
      </c>
      <c r="C4" s="11">
        <v>344237</v>
      </c>
      <c r="D4" s="11">
        <v>312930</v>
      </c>
      <c r="E4" s="11"/>
      <c r="F4" s="11">
        <v>230934.62</v>
      </c>
      <c r="G4" s="11">
        <v>230934.62</v>
      </c>
      <c r="H4" s="11">
        <v>0</v>
      </c>
      <c r="I4" s="11"/>
      <c r="J4" s="3" t="s">
        <v>110</v>
      </c>
    </row>
    <row r="5" spans="1:10" x14ac:dyDescent="0.2">
      <c r="A5" s="3" t="s">
        <v>113</v>
      </c>
      <c r="B5" s="3" t="s">
        <v>114</v>
      </c>
      <c r="C5" s="11">
        <v>294118</v>
      </c>
      <c r="D5" s="11">
        <v>264706.2</v>
      </c>
      <c r="E5" s="11">
        <v>0.75555464888997681</v>
      </c>
      <c r="F5" s="11">
        <v>200000</v>
      </c>
      <c r="G5" s="11">
        <v>200000</v>
      </c>
      <c r="H5" s="11">
        <v>0</v>
      </c>
      <c r="I5" s="11">
        <v>3333.333333333333</v>
      </c>
      <c r="J5" s="3" t="s">
        <v>110</v>
      </c>
    </row>
    <row r="6" spans="1:10" x14ac:dyDescent="0.2">
      <c r="A6" s="3" t="s">
        <v>113</v>
      </c>
      <c r="B6" s="3" t="s">
        <v>115</v>
      </c>
      <c r="C6" s="11">
        <v>18952</v>
      </c>
      <c r="D6" s="11">
        <v>17056.8</v>
      </c>
      <c r="E6" s="11">
        <v>0.9</v>
      </c>
      <c r="F6" s="11">
        <v>15351.12</v>
      </c>
      <c r="G6" s="11">
        <v>15351.12</v>
      </c>
      <c r="H6" s="11">
        <v>0</v>
      </c>
      <c r="I6" s="11">
        <v>0</v>
      </c>
      <c r="J6" s="3" t="s">
        <v>110</v>
      </c>
    </row>
    <row r="7" spans="1:10" x14ac:dyDescent="0.2">
      <c r="A7" s="3" t="s">
        <v>113</v>
      </c>
      <c r="B7" s="3" t="s">
        <v>116</v>
      </c>
      <c r="C7" s="11">
        <v>31167</v>
      </c>
      <c r="D7" s="11">
        <v>31167</v>
      </c>
      <c r="E7" s="11">
        <v>0.5</v>
      </c>
      <c r="F7" s="11">
        <v>15583.5</v>
      </c>
      <c r="G7" s="11">
        <v>15583.5</v>
      </c>
      <c r="H7" s="11">
        <v>0</v>
      </c>
      <c r="I7" s="11">
        <v>0</v>
      </c>
      <c r="J7" s="3" t="s">
        <v>110</v>
      </c>
    </row>
    <row r="8" spans="1:10" x14ac:dyDescent="0.2">
      <c r="A8" s="3" t="s">
        <v>117</v>
      </c>
      <c r="B8" s="3" t="s">
        <v>118</v>
      </c>
      <c r="C8" s="11">
        <v>0</v>
      </c>
      <c r="D8" s="11">
        <v>81615</v>
      </c>
      <c r="E8" s="11"/>
      <c r="F8" s="11">
        <v>0</v>
      </c>
      <c r="G8" s="11">
        <v>0</v>
      </c>
      <c r="H8" s="11">
        <v>0</v>
      </c>
      <c r="I8" s="11"/>
      <c r="J8" s="3" t="s">
        <v>110</v>
      </c>
    </row>
    <row r="9" spans="1:10" ht="27.75" x14ac:dyDescent="0.2">
      <c r="A9" s="3" t="s">
        <v>113</v>
      </c>
      <c r="B9" s="3" t="s">
        <v>119</v>
      </c>
      <c r="C9" s="11">
        <v>0</v>
      </c>
      <c r="D9" s="11">
        <v>74559.444444444438</v>
      </c>
      <c r="E9" s="11"/>
      <c r="F9" s="11">
        <v>0</v>
      </c>
      <c r="G9" s="11">
        <v>0</v>
      </c>
      <c r="H9" s="11">
        <v>0</v>
      </c>
      <c r="I9" s="11">
        <v>2289</v>
      </c>
      <c r="J9" s="3" t="s">
        <v>120</v>
      </c>
    </row>
    <row r="10" spans="1:10" x14ac:dyDescent="0.2">
      <c r="A10" s="3" t="s">
        <v>113</v>
      </c>
      <c r="B10" s="3" t="s">
        <v>121</v>
      </c>
      <c r="C10" s="11">
        <v>0</v>
      </c>
      <c r="D10" s="11">
        <v>5555.5555555555547</v>
      </c>
      <c r="E10" s="11"/>
      <c r="F10" s="11">
        <v>0</v>
      </c>
      <c r="G10" s="11">
        <v>0</v>
      </c>
      <c r="H10" s="11">
        <v>0</v>
      </c>
      <c r="I10" s="11">
        <v>833.33333333333326</v>
      </c>
      <c r="J10" s="3" t="s">
        <v>110</v>
      </c>
    </row>
    <row r="11" spans="1:10" x14ac:dyDescent="0.2">
      <c r="A11" s="3" t="s">
        <v>122</v>
      </c>
      <c r="B11" s="3" t="s">
        <v>123</v>
      </c>
      <c r="C11" s="11">
        <v>0</v>
      </c>
      <c r="D11" s="11">
        <v>1500</v>
      </c>
      <c r="E11" s="11"/>
      <c r="F11" s="11">
        <v>0</v>
      </c>
      <c r="G11" s="11">
        <v>0</v>
      </c>
      <c r="H11" s="11">
        <v>0</v>
      </c>
      <c r="I11" s="11">
        <v>0</v>
      </c>
      <c r="J11" s="3" t="s">
        <v>110</v>
      </c>
    </row>
    <row r="12" spans="1:10" x14ac:dyDescent="0.2">
      <c r="A12" s="3" t="s">
        <v>124</v>
      </c>
      <c r="B12" s="3" t="s">
        <v>92</v>
      </c>
      <c r="C12" s="11">
        <v>14610</v>
      </c>
      <c r="D12" s="11">
        <v>14610</v>
      </c>
      <c r="E12" s="11"/>
      <c r="F12" s="11">
        <v>0</v>
      </c>
      <c r="G12" s="11">
        <v>0</v>
      </c>
      <c r="H12" s="11">
        <v>0</v>
      </c>
      <c r="I12" s="11"/>
      <c r="J12" s="3" t="s">
        <v>110</v>
      </c>
    </row>
    <row r="13" spans="1:10" x14ac:dyDescent="0.2">
      <c r="A13" s="3" t="s">
        <v>124</v>
      </c>
      <c r="B13" s="3" t="s">
        <v>125</v>
      </c>
      <c r="C13" s="11">
        <v>6510</v>
      </c>
      <c r="D13" s="11">
        <v>6510</v>
      </c>
      <c r="E13" s="11"/>
      <c r="F13" s="11">
        <v>0</v>
      </c>
      <c r="G13" s="11">
        <v>0</v>
      </c>
      <c r="H13" s="11">
        <v>0</v>
      </c>
      <c r="I13" s="11">
        <v>425</v>
      </c>
      <c r="J13" s="3" t="s">
        <v>126</v>
      </c>
    </row>
    <row r="14" spans="1:10" x14ac:dyDescent="0.2">
      <c r="A14" s="3" t="s">
        <v>124</v>
      </c>
      <c r="B14" s="3" t="s">
        <v>127</v>
      </c>
      <c r="C14" s="11">
        <v>8100</v>
      </c>
      <c r="D14" s="11">
        <v>8100</v>
      </c>
      <c r="E14" s="11"/>
      <c r="F14" s="11">
        <v>0</v>
      </c>
      <c r="G14" s="11">
        <v>0</v>
      </c>
      <c r="H14" s="11">
        <v>0</v>
      </c>
      <c r="I14" s="11">
        <v>675</v>
      </c>
      <c r="J14" s="3" t="s">
        <v>128</v>
      </c>
    </row>
    <row r="15" spans="1:10" x14ac:dyDescent="0.2">
      <c r="A15" s="3" t="s">
        <v>124</v>
      </c>
      <c r="B15" s="3" t="s">
        <v>96</v>
      </c>
      <c r="C15" s="11">
        <v>0</v>
      </c>
      <c r="D15" s="11">
        <v>0</v>
      </c>
      <c r="E15" s="11"/>
      <c r="F15" s="11">
        <v>0</v>
      </c>
      <c r="G15" s="11">
        <v>0</v>
      </c>
      <c r="H15" s="11">
        <v>0</v>
      </c>
      <c r="I15" s="11">
        <v>0</v>
      </c>
      <c r="J15" s="3" t="s">
        <v>129</v>
      </c>
    </row>
    <row r="16" spans="1:10" x14ac:dyDescent="0.2">
      <c r="A16" s="3"/>
      <c r="B16" s="3"/>
      <c r="C16" s="11"/>
      <c r="D16" s="11"/>
      <c r="E16" s="11"/>
      <c r="F16" s="11"/>
      <c r="G16" s="11"/>
      <c r="H16" s="11"/>
      <c r="I16" s="11"/>
      <c r="J16" s="3"/>
    </row>
    <row r="17" spans="1:10" x14ac:dyDescent="0.2">
      <c r="A17" s="3"/>
      <c r="B17" s="3"/>
      <c r="C17" s="11"/>
      <c r="D17" s="11"/>
      <c r="E17" s="11"/>
      <c r="F17" s="11"/>
      <c r="G17" s="11"/>
      <c r="H17" s="11"/>
      <c r="I17" s="11"/>
      <c r="J17" s="3"/>
    </row>
    <row r="18" spans="1:10" x14ac:dyDescent="0.2">
      <c r="A18" s="3"/>
      <c r="B18" s="3"/>
      <c r="C18" s="11"/>
      <c r="D18" s="11"/>
      <c r="E18" s="11"/>
      <c r="F18" s="11"/>
      <c r="G18" s="11"/>
      <c r="H18" s="11"/>
      <c r="I18" s="11"/>
      <c r="J18" s="3"/>
    </row>
    <row r="19" spans="1:10" x14ac:dyDescent="0.2">
      <c r="A19" s="3"/>
      <c r="B19" s="3"/>
      <c r="C19" s="11"/>
      <c r="D19" s="11"/>
      <c r="E19" s="11"/>
      <c r="F19" s="11"/>
      <c r="G19" s="11"/>
      <c r="H19" s="11"/>
      <c r="I19" s="11"/>
      <c r="J19" s="3"/>
    </row>
    <row r="20" spans="1:10" x14ac:dyDescent="0.2">
      <c r="A20" s="3"/>
      <c r="B20" s="3"/>
      <c r="C20" s="11"/>
      <c r="D20" s="11"/>
      <c r="E20" s="11"/>
      <c r="F20" s="11"/>
      <c r="G20" s="11"/>
      <c r="H20" s="11"/>
      <c r="I20" s="11"/>
      <c r="J20" s="3"/>
    </row>
    <row r="21" spans="1:10" x14ac:dyDescent="0.2">
      <c r="A21" s="2"/>
      <c r="B21" s="2"/>
      <c r="C21" s="12"/>
      <c r="D21" s="12"/>
      <c r="E21" s="12"/>
      <c r="F21" s="12"/>
      <c r="G21" s="12"/>
      <c r="H21" s="12"/>
      <c r="I21" s="12"/>
      <c r="J21" s="2"/>
    </row>
    <row r="22" spans="1:10" x14ac:dyDescent="0.2">
      <c r="A22" s="2"/>
      <c r="B22" s="2"/>
      <c r="C22" s="12"/>
      <c r="D22" s="12"/>
      <c r="E22" s="12"/>
      <c r="F22" s="12"/>
      <c r="G22" s="12"/>
      <c r="H22" s="12"/>
      <c r="I22" s="12"/>
      <c r="J22" s="2"/>
    </row>
    <row r="23" spans="1:10" x14ac:dyDescent="0.2">
      <c r="A23" s="2"/>
      <c r="B23" s="2"/>
      <c r="C23" s="12"/>
      <c r="D23" s="12"/>
      <c r="E23" s="12"/>
      <c r="F23" s="12"/>
      <c r="G23" s="12"/>
      <c r="H23" s="12"/>
      <c r="I23" s="12"/>
      <c r="J23" s="2"/>
    </row>
    <row r="24" spans="1:10" x14ac:dyDescent="0.2">
      <c r="A24" s="2"/>
      <c r="B24" s="2"/>
      <c r="C24" s="12"/>
      <c r="D24" s="12"/>
      <c r="E24" s="12"/>
      <c r="F24" s="12"/>
      <c r="G24" s="12"/>
      <c r="H24" s="12"/>
      <c r="I24" s="12"/>
      <c r="J24" s="2"/>
    </row>
    <row r="25" spans="1:10" x14ac:dyDescent="0.2">
      <c r="A25" s="2"/>
      <c r="B25" s="2"/>
      <c r="C25" s="12"/>
      <c r="D25" s="12"/>
      <c r="E25" s="12"/>
      <c r="F25" s="12"/>
      <c r="G25" s="12"/>
      <c r="H25" s="12"/>
      <c r="I25" s="12"/>
      <c r="J25" s="2"/>
    </row>
    <row r="26" spans="1:10" x14ac:dyDescent="0.2">
      <c r="A26" s="2"/>
      <c r="B26" s="2"/>
      <c r="C26" s="12"/>
      <c r="D26" s="12"/>
      <c r="E26" s="12"/>
      <c r="F26" s="12"/>
      <c r="G26" s="12"/>
      <c r="H26" s="12"/>
      <c r="I26" s="12"/>
      <c r="J26" s="2"/>
    </row>
    <row r="27" spans="1:10" x14ac:dyDescent="0.2">
      <c r="A27" s="2"/>
      <c r="B27" s="2"/>
      <c r="C27" s="12"/>
      <c r="D27" s="12"/>
      <c r="E27" s="12"/>
      <c r="F27" s="12"/>
      <c r="G27" s="12"/>
      <c r="H27" s="12"/>
      <c r="I27" s="12"/>
      <c r="J27" s="2"/>
    </row>
    <row r="28" spans="1:10" x14ac:dyDescent="0.2">
      <c r="A28" s="2"/>
      <c r="B28" s="2"/>
      <c r="C28" s="12"/>
      <c r="D28" s="12"/>
      <c r="E28" s="12"/>
      <c r="F28" s="12"/>
      <c r="G28" s="12"/>
      <c r="H28" s="12"/>
      <c r="I28" s="12"/>
      <c r="J28" s="2"/>
    </row>
    <row r="29" spans="1:10" x14ac:dyDescent="0.2">
      <c r="A29" s="2"/>
      <c r="B29" s="2"/>
      <c r="C29" s="12"/>
      <c r="D29" s="12"/>
      <c r="E29" s="12"/>
      <c r="F29" s="12"/>
      <c r="G29" s="12"/>
      <c r="H29" s="12"/>
      <c r="I29" s="12"/>
      <c r="J29" s="2"/>
    </row>
    <row r="30" spans="1:10" x14ac:dyDescent="0.2">
      <c r="A30" s="2"/>
      <c r="B30" s="2"/>
      <c r="C30" s="12"/>
      <c r="D30" s="12"/>
      <c r="E30" s="12"/>
      <c r="F30" s="12"/>
      <c r="G30" s="12"/>
      <c r="H30" s="12"/>
      <c r="I30" s="1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zoomScaleNormal="100" zoomScaleSheetLayoutView="100" workbookViewId="0"/>
  </sheetViews>
  <sheetFormatPr defaultRowHeight="15" x14ac:dyDescent="0.2"/>
  <cols>
    <col min="1" max="1" width="37.93359375" customWidth="1"/>
    <col min="2" max="3" width="18.0234375" customWidth="1"/>
    <col min="4" max="4" width="22.05859375" customWidth="1"/>
    <col min="5" max="5" width="67.93359375" customWidth="1"/>
  </cols>
  <sheetData>
    <row r="1" spans="1:10" x14ac:dyDescent="0.2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2"/>
      <c r="G1" s="2"/>
      <c r="H1" s="2"/>
      <c r="I1" s="2"/>
      <c r="J1" s="2"/>
    </row>
    <row r="2" spans="1:10" ht="27.75" x14ac:dyDescent="0.2">
      <c r="A2" s="7" t="s">
        <v>135</v>
      </c>
      <c r="B2" s="13">
        <v>4100</v>
      </c>
      <c r="C2" s="7" t="s">
        <v>136</v>
      </c>
      <c r="D2" s="7" t="s">
        <v>137</v>
      </c>
      <c r="E2" s="7" t="s">
        <v>138</v>
      </c>
      <c r="F2" s="2"/>
      <c r="G2" s="2"/>
      <c r="H2" s="2"/>
      <c r="I2" s="2"/>
      <c r="J2" s="2"/>
    </row>
    <row r="3" spans="1:10" x14ac:dyDescent="0.2">
      <c r="A3" s="3" t="s">
        <v>139</v>
      </c>
      <c r="B3" s="11">
        <v>31167</v>
      </c>
      <c r="C3" s="3" t="s">
        <v>140</v>
      </c>
      <c r="D3" s="3" t="s">
        <v>141</v>
      </c>
      <c r="E3" s="3" t="s">
        <v>142</v>
      </c>
      <c r="F3" s="2"/>
      <c r="G3" s="2"/>
      <c r="H3" s="2"/>
      <c r="I3" s="2"/>
      <c r="J3" s="2"/>
    </row>
    <row r="4" spans="1:10" x14ac:dyDescent="0.2">
      <c r="A4" s="3" t="s">
        <v>143</v>
      </c>
      <c r="B4" s="11">
        <v>15583.5</v>
      </c>
      <c r="C4" s="3" t="s">
        <v>140</v>
      </c>
      <c r="D4" s="3" t="s">
        <v>144</v>
      </c>
      <c r="E4" s="3" t="s">
        <v>145</v>
      </c>
      <c r="F4" s="2"/>
      <c r="G4" s="2"/>
      <c r="H4" s="2"/>
      <c r="I4" s="2"/>
      <c r="J4" s="2"/>
    </row>
    <row r="5" spans="1:10" x14ac:dyDescent="0.2">
      <c r="A5" s="14" t="s">
        <v>146</v>
      </c>
      <c r="B5" s="15">
        <v>2289</v>
      </c>
      <c r="C5" s="14" t="s">
        <v>74</v>
      </c>
      <c r="D5" s="14" t="s">
        <v>147</v>
      </c>
      <c r="E5" s="14" t="s">
        <v>148</v>
      </c>
      <c r="F5" s="2"/>
      <c r="G5" s="2"/>
      <c r="H5" s="2"/>
      <c r="I5" s="2"/>
      <c r="J5" s="2"/>
    </row>
    <row r="6" spans="1:10" x14ac:dyDescent="0.2">
      <c r="A6" s="14" t="s">
        <v>149</v>
      </c>
      <c r="B6" s="15">
        <v>74559.444444444438</v>
      </c>
      <c r="C6" s="14" t="s">
        <v>140</v>
      </c>
      <c r="D6" s="14" t="s">
        <v>150</v>
      </c>
      <c r="E6" s="14" t="s">
        <v>151</v>
      </c>
      <c r="F6" s="2"/>
      <c r="G6" s="2"/>
      <c r="H6" s="2"/>
      <c r="I6" s="2"/>
      <c r="J6" s="2"/>
    </row>
    <row r="7" spans="1:10" x14ac:dyDescent="0.2">
      <c r="A7" s="14" t="s">
        <v>152</v>
      </c>
      <c r="B7" s="15">
        <v>833.33333333333326</v>
      </c>
      <c r="C7" s="14" t="s">
        <v>12</v>
      </c>
      <c r="D7" s="14" t="s">
        <v>153</v>
      </c>
      <c r="E7" s="14" t="s">
        <v>154</v>
      </c>
      <c r="F7" s="2"/>
      <c r="G7" s="2"/>
      <c r="H7" s="2"/>
      <c r="I7" s="2"/>
      <c r="J7" s="2"/>
    </row>
    <row r="8" spans="1:10" x14ac:dyDescent="0.2">
      <c r="A8" s="14" t="s">
        <v>155</v>
      </c>
      <c r="B8" s="15">
        <v>5555.5555555555547</v>
      </c>
      <c r="C8" s="14" t="s">
        <v>140</v>
      </c>
      <c r="D8" s="14" t="s">
        <v>156</v>
      </c>
      <c r="E8" s="14" t="s">
        <v>157</v>
      </c>
      <c r="F8" s="2"/>
      <c r="G8" s="2"/>
      <c r="H8" s="2"/>
      <c r="I8" s="2"/>
      <c r="J8" s="2"/>
    </row>
    <row r="9" spans="1:10" x14ac:dyDescent="0.2">
      <c r="A9" s="3" t="s">
        <v>123</v>
      </c>
      <c r="B9" s="11">
        <v>1500</v>
      </c>
      <c r="C9" s="3" t="s">
        <v>140</v>
      </c>
      <c r="D9" s="3" t="s">
        <v>158</v>
      </c>
      <c r="E9" s="3" t="s">
        <v>154</v>
      </c>
      <c r="F9" s="2"/>
      <c r="G9" s="2"/>
      <c r="H9" s="2"/>
      <c r="I9" s="2"/>
      <c r="J9" s="2"/>
    </row>
    <row r="10" spans="1:10" x14ac:dyDescent="0.2">
      <c r="A10" s="3" t="s">
        <v>125</v>
      </c>
      <c r="B10" s="11">
        <v>425</v>
      </c>
      <c r="C10" s="3" t="s">
        <v>57</v>
      </c>
      <c r="D10" s="3" t="s">
        <v>159</v>
      </c>
      <c r="E10" s="3" t="s">
        <v>160</v>
      </c>
      <c r="F10" s="2"/>
      <c r="G10" s="2"/>
      <c r="H10" s="2"/>
      <c r="I10" s="2"/>
      <c r="J10" s="2"/>
    </row>
    <row r="11" spans="1:10" x14ac:dyDescent="0.2">
      <c r="A11" s="3" t="s">
        <v>127</v>
      </c>
      <c r="B11" s="11">
        <v>675</v>
      </c>
      <c r="C11" s="3" t="s">
        <v>57</v>
      </c>
      <c r="D11" s="3" t="s">
        <v>161</v>
      </c>
      <c r="E11" s="3" t="s">
        <v>162</v>
      </c>
      <c r="F11" s="2"/>
      <c r="G11" s="2"/>
      <c r="H11" s="2"/>
      <c r="I11" s="2"/>
      <c r="J11" s="2"/>
    </row>
    <row r="12" spans="1:10" x14ac:dyDescent="0.2">
      <c r="A12" s="3" t="s">
        <v>96</v>
      </c>
      <c r="B12" s="11">
        <v>0</v>
      </c>
      <c r="C12" s="3" t="s">
        <v>163</v>
      </c>
      <c r="D12" s="3" t="s">
        <v>164</v>
      </c>
      <c r="E12" s="3" t="s">
        <v>165</v>
      </c>
      <c r="F12" s="2"/>
      <c r="G12" s="2"/>
      <c r="H12" s="2"/>
      <c r="I12" s="2"/>
      <c r="J12" s="2"/>
    </row>
    <row r="13" spans="1:10" x14ac:dyDescent="0.2">
      <c r="A13" s="3" t="s">
        <v>166</v>
      </c>
      <c r="B13" s="11">
        <v>3193.75</v>
      </c>
      <c r="C13" s="3" t="s">
        <v>136</v>
      </c>
      <c r="D13" s="3" t="s">
        <v>167</v>
      </c>
      <c r="E13" s="3" t="s">
        <v>168</v>
      </c>
      <c r="F13" s="2"/>
      <c r="G13" s="2"/>
      <c r="H13" s="2"/>
      <c r="I13" s="2"/>
      <c r="J13" s="2"/>
    </row>
    <row r="14" spans="1:10" x14ac:dyDescent="0.2">
      <c r="A14" s="3"/>
      <c r="B14" s="11"/>
      <c r="C14" s="3"/>
      <c r="D14" s="3"/>
      <c r="E14" s="3"/>
      <c r="F14" s="2"/>
      <c r="G14" s="2"/>
      <c r="H14" s="2"/>
      <c r="I14" s="2"/>
      <c r="J14" s="2"/>
    </row>
    <row r="15" spans="1:10" x14ac:dyDescent="0.2">
      <c r="A15" s="3"/>
      <c r="B15" s="11"/>
      <c r="C15" s="3"/>
      <c r="D15" s="3"/>
      <c r="E15" s="3"/>
      <c r="F15" s="2"/>
      <c r="G15" s="2"/>
      <c r="H15" s="2"/>
      <c r="I15" s="2"/>
      <c r="J15" s="2"/>
    </row>
    <row r="16" spans="1:10" x14ac:dyDescent="0.2">
      <c r="A16" s="3"/>
      <c r="B16" s="11"/>
      <c r="C16" s="3"/>
      <c r="D16" s="3"/>
      <c r="E16" s="3"/>
      <c r="F16" s="2"/>
      <c r="G16" s="2"/>
      <c r="H16" s="2"/>
      <c r="I16" s="2"/>
      <c r="J16" s="2"/>
    </row>
    <row r="17" spans="1:10" x14ac:dyDescent="0.2">
      <c r="A17" s="3"/>
      <c r="B17" s="11"/>
      <c r="C17" s="3"/>
      <c r="D17" s="3"/>
      <c r="E17" s="3"/>
      <c r="F17" s="2"/>
      <c r="G17" s="2"/>
      <c r="H17" s="2"/>
      <c r="I17" s="2"/>
      <c r="J17" s="2"/>
    </row>
    <row r="18" spans="1:10" x14ac:dyDescent="0.2">
      <c r="A18" s="3"/>
      <c r="B18" s="11"/>
      <c r="C18" s="3"/>
      <c r="D18" s="3"/>
      <c r="E18" s="3"/>
      <c r="F18" s="2"/>
      <c r="G18" s="2"/>
      <c r="H18" s="2"/>
      <c r="I18" s="2"/>
      <c r="J18" s="2"/>
    </row>
    <row r="19" spans="1:10" x14ac:dyDescent="0.2">
      <c r="A19" s="3"/>
      <c r="B19" s="11"/>
      <c r="C19" s="3"/>
      <c r="D19" s="3"/>
      <c r="E19" s="3"/>
      <c r="F19" s="2"/>
      <c r="G19" s="2"/>
      <c r="H19" s="2"/>
      <c r="I19" s="2"/>
      <c r="J19" s="2"/>
    </row>
    <row r="20" spans="1:10" x14ac:dyDescent="0.2">
      <c r="A20" s="3"/>
      <c r="B20" s="11"/>
      <c r="C20" s="3"/>
      <c r="D20" s="3"/>
      <c r="E20" s="3"/>
      <c r="F20" s="2"/>
      <c r="G20" s="2"/>
      <c r="H20" s="2"/>
      <c r="I20" s="2"/>
      <c r="J20" s="2"/>
    </row>
    <row r="21" spans="1:10" x14ac:dyDescent="0.2">
      <c r="A21" s="3"/>
      <c r="B21" s="11"/>
      <c r="C21" s="3"/>
      <c r="D21" s="3"/>
      <c r="E21" s="3"/>
      <c r="F21" s="2"/>
      <c r="G21" s="2"/>
      <c r="H21" s="2"/>
      <c r="I21" s="2"/>
      <c r="J21" s="2"/>
    </row>
    <row r="22" spans="1:10" x14ac:dyDescent="0.2">
      <c r="A22" s="3"/>
      <c r="B22" s="11"/>
      <c r="C22" s="3"/>
      <c r="D22" s="3"/>
      <c r="E22" s="3"/>
      <c r="F22" s="2"/>
      <c r="G22" s="2"/>
      <c r="H22" s="2"/>
      <c r="I22" s="2"/>
      <c r="J22" s="2"/>
    </row>
    <row r="23" spans="1:10" x14ac:dyDescent="0.2">
      <c r="A23" s="3"/>
      <c r="B23" s="11"/>
      <c r="C23" s="3"/>
      <c r="D23" s="3"/>
      <c r="E23" s="3"/>
      <c r="F23" s="2"/>
      <c r="G23" s="2"/>
      <c r="H23" s="2"/>
      <c r="I23" s="2"/>
      <c r="J23" s="2"/>
    </row>
    <row r="24" spans="1:10" x14ac:dyDescent="0.2">
      <c r="A24" s="3"/>
      <c r="B24" s="11"/>
      <c r="C24" s="3"/>
      <c r="D24" s="3"/>
      <c r="E24" s="3"/>
      <c r="F24" s="2"/>
      <c r="G24" s="2"/>
      <c r="H24" s="2"/>
      <c r="I24" s="2"/>
      <c r="J24" s="2"/>
    </row>
    <row r="25" spans="1:10" x14ac:dyDescent="0.2">
      <c r="A25" s="3"/>
      <c r="B25" s="11"/>
      <c r="C25" s="3"/>
      <c r="D25" s="3"/>
      <c r="E25" s="3"/>
      <c r="F25" s="2"/>
      <c r="G25" s="2"/>
      <c r="H25" s="2"/>
      <c r="I25" s="2"/>
      <c r="J25" s="2"/>
    </row>
    <row r="26" spans="1:10" x14ac:dyDescent="0.2">
      <c r="A26" s="3"/>
      <c r="B26" s="11"/>
      <c r="C26" s="3"/>
      <c r="D26" s="3"/>
      <c r="E26" s="3"/>
      <c r="F26" s="2"/>
      <c r="G26" s="2"/>
      <c r="H26" s="2"/>
      <c r="I26" s="2"/>
      <c r="J26" s="2"/>
    </row>
    <row r="27" spans="1:10" x14ac:dyDescent="0.2">
      <c r="A27" s="3"/>
      <c r="B27" s="11"/>
      <c r="C27" s="3"/>
      <c r="D27" s="3"/>
      <c r="E27" s="3"/>
      <c r="F27" s="2"/>
      <c r="G27" s="2"/>
      <c r="H27" s="2"/>
      <c r="I27" s="2"/>
      <c r="J27" s="2"/>
    </row>
    <row r="28" spans="1:10" x14ac:dyDescent="0.2">
      <c r="A28" s="3"/>
      <c r="B28" s="11"/>
      <c r="C28" s="3"/>
      <c r="D28" s="3"/>
      <c r="E28" s="3"/>
      <c r="F28" s="2"/>
      <c r="G28" s="2"/>
      <c r="H28" s="2"/>
      <c r="I28" s="2"/>
      <c r="J28" s="2"/>
    </row>
    <row r="29" spans="1:10" x14ac:dyDescent="0.2">
      <c r="A29" s="3"/>
      <c r="B29" s="11"/>
      <c r="C29" s="3"/>
      <c r="D29" s="3"/>
      <c r="E29" s="3"/>
      <c r="F29" s="2"/>
      <c r="G29" s="2"/>
      <c r="H29" s="2"/>
      <c r="I29" s="2"/>
      <c r="J29" s="2"/>
    </row>
    <row r="30" spans="1:10" x14ac:dyDescent="0.2">
      <c r="A30" s="3"/>
      <c r="B30" s="11"/>
      <c r="C30" s="3"/>
      <c r="D30" s="3"/>
      <c r="E30" s="3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zoomScaleNormal="100" zoomScaleSheetLayoutView="100" workbookViewId="0"/>
  </sheetViews>
  <sheetFormatPr defaultRowHeight="15" x14ac:dyDescent="0.2"/>
  <cols>
    <col min="1" max="1" width="48.0234375" customWidth="1"/>
    <col min="2" max="2" width="22.05859375" customWidth="1"/>
    <col min="3" max="3" width="18.0234375" customWidth="1"/>
    <col min="4" max="4" width="20.04296875" customWidth="1"/>
    <col min="5" max="5" width="18.0234375" customWidth="1"/>
    <col min="6" max="6" width="64.03125" customWidth="1"/>
  </cols>
  <sheetData>
    <row r="1" spans="1:10" ht="27.75" x14ac:dyDescent="0.2">
      <c r="A1" s="1" t="s">
        <v>3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134</v>
      </c>
      <c r="G1" s="2"/>
      <c r="H1" s="2"/>
      <c r="I1" s="2"/>
      <c r="J1" s="2"/>
    </row>
    <row r="2" spans="1:10" x14ac:dyDescent="0.2">
      <c r="A2" s="3" t="s">
        <v>173</v>
      </c>
      <c r="B2" s="11">
        <v>200000</v>
      </c>
      <c r="C2" s="11">
        <v>200000</v>
      </c>
      <c r="D2" s="11">
        <v>200000</v>
      </c>
      <c r="E2" s="11">
        <v>0</v>
      </c>
      <c r="F2" s="3" t="s">
        <v>174</v>
      </c>
      <c r="G2" s="2"/>
      <c r="H2" s="2"/>
      <c r="I2" s="2"/>
      <c r="J2" s="2"/>
    </row>
    <row r="3" spans="1:10" x14ac:dyDescent="0.2">
      <c r="A3" s="3" t="s">
        <v>175</v>
      </c>
      <c r="B3" s="11">
        <v>7143</v>
      </c>
      <c r="C3" s="11"/>
      <c r="D3" s="11">
        <v>7143</v>
      </c>
      <c r="E3" s="11"/>
      <c r="F3" s="3" t="s">
        <v>176</v>
      </c>
      <c r="G3" s="2"/>
      <c r="H3" s="2"/>
      <c r="I3" s="2"/>
      <c r="J3" s="2"/>
    </row>
    <row r="4" spans="1:10" x14ac:dyDescent="0.2">
      <c r="A4" s="3" t="s">
        <v>177</v>
      </c>
      <c r="B4" s="11">
        <v>464.29500000000002</v>
      </c>
      <c r="C4" s="11">
        <v>425</v>
      </c>
      <c r="D4" s="11">
        <v>425</v>
      </c>
      <c r="E4" s="11">
        <v>-39.295000000000002</v>
      </c>
      <c r="F4" s="3" t="s">
        <v>178</v>
      </c>
      <c r="G4" s="2"/>
      <c r="H4" s="2"/>
      <c r="I4" s="2"/>
      <c r="J4" s="2"/>
    </row>
    <row r="5" spans="1:10" x14ac:dyDescent="0.2">
      <c r="A5" s="3" t="s">
        <v>179</v>
      </c>
      <c r="B5" s="11">
        <v>964.30499999999995</v>
      </c>
      <c r="C5" s="11">
        <v>675</v>
      </c>
      <c r="D5" s="11">
        <v>675</v>
      </c>
      <c r="E5" s="11">
        <v>-289.30500000000001</v>
      </c>
      <c r="F5" s="3" t="s">
        <v>178</v>
      </c>
      <c r="G5" s="2"/>
      <c r="H5" s="2"/>
      <c r="I5" s="2"/>
      <c r="J5" s="2"/>
    </row>
    <row r="6" spans="1:10" x14ac:dyDescent="0.2">
      <c r="A6" s="3" t="s">
        <v>180</v>
      </c>
      <c r="B6" s="11">
        <v>126.78825000000001</v>
      </c>
      <c r="C6" s="11">
        <v>0</v>
      </c>
      <c r="D6" s="11">
        <v>0</v>
      </c>
      <c r="E6" s="11">
        <v>-126.78825000000001</v>
      </c>
      <c r="F6" s="3" t="s">
        <v>181</v>
      </c>
      <c r="G6" s="2"/>
      <c r="H6" s="2"/>
      <c r="I6" s="2"/>
      <c r="J6" s="2"/>
    </row>
    <row r="7" spans="1:10" x14ac:dyDescent="0.2">
      <c r="A7" s="3" t="s">
        <v>182</v>
      </c>
      <c r="B7" s="11">
        <v>2289</v>
      </c>
      <c r="C7" s="11">
        <v>2289</v>
      </c>
      <c r="D7" s="11">
        <v>2289</v>
      </c>
      <c r="E7" s="11">
        <v>0</v>
      </c>
      <c r="F7" s="3" t="s">
        <v>183</v>
      </c>
      <c r="G7" s="2"/>
      <c r="H7" s="2"/>
      <c r="I7" s="2"/>
      <c r="J7" s="2"/>
    </row>
    <row r="8" spans="1:10" x14ac:dyDescent="0.2">
      <c r="A8" s="3" t="s">
        <v>184</v>
      </c>
      <c r="B8" s="11">
        <v>80115</v>
      </c>
      <c r="C8" s="11">
        <v>74559.444444444438</v>
      </c>
      <c r="D8" s="11">
        <v>74559.444444444438</v>
      </c>
      <c r="E8" s="11">
        <v>-5555.5555555555602</v>
      </c>
      <c r="F8" s="3" t="s">
        <v>185</v>
      </c>
      <c r="G8" s="2"/>
      <c r="H8" s="2"/>
      <c r="I8" s="2"/>
      <c r="J8" s="2"/>
    </row>
    <row r="9" spans="1:10" x14ac:dyDescent="0.2">
      <c r="A9" s="3" t="s">
        <v>186</v>
      </c>
      <c r="B9" s="11"/>
      <c r="C9" s="11">
        <v>833.33333333333326</v>
      </c>
      <c r="D9" s="11">
        <v>833.33333333333326</v>
      </c>
      <c r="E9" s="11"/>
      <c r="F9" s="3" t="s">
        <v>187</v>
      </c>
      <c r="G9" s="2"/>
      <c r="H9" s="2"/>
      <c r="I9" s="2"/>
      <c r="J9" s="2"/>
    </row>
    <row r="10" spans="1:10" x14ac:dyDescent="0.2">
      <c r="A10" s="3" t="s">
        <v>188</v>
      </c>
      <c r="B10" s="11">
        <v>21360</v>
      </c>
      <c r="C10" s="11">
        <v>31167</v>
      </c>
      <c r="D10" s="11">
        <v>31167</v>
      </c>
      <c r="E10" s="11">
        <v>9807</v>
      </c>
      <c r="F10" s="3" t="s">
        <v>189</v>
      </c>
      <c r="G10" s="2"/>
      <c r="H10" s="2"/>
      <c r="I10" s="2"/>
      <c r="J10" s="2"/>
    </row>
    <row r="11" spans="1:10" x14ac:dyDescent="0.2">
      <c r="A11" s="3" t="s">
        <v>190</v>
      </c>
      <c r="B11" s="11"/>
      <c r="C11" s="11">
        <v>15583.5</v>
      </c>
      <c r="D11" s="11">
        <v>15583.5</v>
      </c>
      <c r="E11" s="11"/>
      <c r="F11" s="3" t="s">
        <v>191</v>
      </c>
      <c r="G11" s="2"/>
      <c r="H11" s="2"/>
      <c r="I11" s="2"/>
      <c r="J11" s="2"/>
    </row>
    <row r="12" spans="1:10" ht="27.75" x14ac:dyDescent="0.2">
      <c r="A12" s="7" t="s">
        <v>192</v>
      </c>
      <c r="B12" s="13"/>
      <c r="C12" s="13">
        <v>6105.759757532378</v>
      </c>
      <c r="D12" s="13">
        <v>4100</v>
      </c>
      <c r="E12" s="13"/>
      <c r="F12" s="7" t="s">
        <v>193</v>
      </c>
      <c r="G12" s="2"/>
      <c r="H12" s="2"/>
      <c r="I12" s="2"/>
      <c r="J12" s="2"/>
    </row>
    <row r="13" spans="1:10" x14ac:dyDescent="0.2">
      <c r="A13" s="3"/>
      <c r="B13" s="11"/>
      <c r="C13" s="11"/>
      <c r="D13" s="11"/>
      <c r="E13" s="11"/>
      <c r="F13" s="3"/>
      <c r="G13" s="2"/>
      <c r="H13" s="2"/>
      <c r="I13" s="2"/>
      <c r="J13" s="2"/>
    </row>
    <row r="14" spans="1:10" x14ac:dyDescent="0.2">
      <c r="A14" s="3"/>
      <c r="B14" s="11"/>
      <c r="C14" s="11"/>
      <c r="D14" s="11"/>
      <c r="E14" s="11"/>
      <c r="F14" s="3"/>
      <c r="G14" s="2"/>
      <c r="H14" s="2"/>
      <c r="I14" s="2"/>
      <c r="J14" s="2"/>
    </row>
    <row r="15" spans="1:10" x14ac:dyDescent="0.2">
      <c r="A15" s="3"/>
      <c r="B15" s="11"/>
      <c r="C15" s="11"/>
      <c r="D15" s="11"/>
      <c r="E15" s="11"/>
      <c r="F15" s="3"/>
      <c r="G15" s="2"/>
      <c r="H15" s="2"/>
      <c r="I15" s="2"/>
      <c r="J15" s="2"/>
    </row>
    <row r="16" spans="1:10" x14ac:dyDescent="0.2">
      <c r="A16" s="3"/>
      <c r="B16" s="11"/>
      <c r="C16" s="11"/>
      <c r="D16" s="11"/>
      <c r="E16" s="11"/>
      <c r="F16" s="3"/>
      <c r="G16" s="2"/>
      <c r="H16" s="2"/>
      <c r="I16" s="2"/>
      <c r="J16" s="2"/>
    </row>
    <row r="17" spans="1:10" x14ac:dyDescent="0.2">
      <c r="A17" s="3"/>
      <c r="B17" s="11"/>
      <c r="C17" s="11"/>
      <c r="D17" s="11"/>
      <c r="E17" s="11"/>
      <c r="F17" s="3"/>
      <c r="G17" s="2"/>
      <c r="H17" s="2"/>
      <c r="I17" s="2"/>
      <c r="J17" s="2"/>
    </row>
    <row r="18" spans="1:10" x14ac:dyDescent="0.2">
      <c r="A18" s="3"/>
      <c r="B18" s="11"/>
      <c r="C18" s="11"/>
      <c r="D18" s="11"/>
      <c r="E18" s="11"/>
      <c r="F18" s="3"/>
      <c r="G18" s="2"/>
      <c r="H18" s="2"/>
      <c r="I18" s="2"/>
      <c r="J18" s="2"/>
    </row>
    <row r="19" spans="1:10" x14ac:dyDescent="0.2">
      <c r="A19" s="3"/>
      <c r="B19" s="11"/>
      <c r="C19" s="11"/>
      <c r="D19" s="11"/>
      <c r="E19" s="11"/>
      <c r="F19" s="3"/>
      <c r="G19" s="2"/>
      <c r="H19" s="2"/>
      <c r="I19" s="2"/>
      <c r="J19" s="2"/>
    </row>
    <row r="20" spans="1:10" x14ac:dyDescent="0.2">
      <c r="A20" s="3"/>
      <c r="B20" s="11"/>
      <c r="C20" s="11"/>
      <c r="D20" s="11"/>
      <c r="E20" s="11"/>
      <c r="F20" s="3"/>
      <c r="G20" s="2"/>
      <c r="H20" s="2"/>
      <c r="I20" s="2"/>
      <c r="J20" s="2"/>
    </row>
    <row r="21" spans="1:10" x14ac:dyDescent="0.2">
      <c r="A21" s="3"/>
      <c r="B21" s="11"/>
      <c r="C21" s="11"/>
      <c r="D21" s="11"/>
      <c r="E21" s="11"/>
      <c r="F21" s="3"/>
      <c r="G21" s="2"/>
      <c r="H21" s="2"/>
      <c r="I21" s="2"/>
      <c r="J21" s="2"/>
    </row>
    <row r="22" spans="1:10" x14ac:dyDescent="0.2">
      <c r="A22" s="3"/>
      <c r="B22" s="11"/>
      <c r="C22" s="11"/>
      <c r="D22" s="11"/>
      <c r="E22" s="11"/>
      <c r="F22" s="3"/>
      <c r="G22" s="2"/>
      <c r="H22" s="2"/>
      <c r="I22" s="2"/>
      <c r="J22" s="2"/>
    </row>
    <row r="23" spans="1:10" x14ac:dyDescent="0.2">
      <c r="A23" s="3"/>
      <c r="B23" s="11"/>
      <c r="C23" s="11"/>
      <c r="D23" s="11"/>
      <c r="E23" s="11"/>
      <c r="F23" s="3"/>
      <c r="G23" s="2"/>
      <c r="H23" s="2"/>
      <c r="I23" s="2"/>
      <c r="J23" s="2"/>
    </row>
    <row r="24" spans="1:10" x14ac:dyDescent="0.2">
      <c r="A24" s="3"/>
      <c r="B24" s="11"/>
      <c r="C24" s="11"/>
      <c r="D24" s="11"/>
      <c r="E24" s="11"/>
      <c r="F24" s="3"/>
      <c r="G24" s="2"/>
      <c r="H24" s="2"/>
      <c r="I24" s="2"/>
      <c r="J24" s="2"/>
    </row>
    <row r="25" spans="1:10" x14ac:dyDescent="0.2">
      <c r="A25" s="3"/>
      <c r="B25" s="11"/>
      <c r="C25" s="11"/>
      <c r="D25" s="11"/>
      <c r="E25" s="11"/>
      <c r="F25" s="3"/>
      <c r="G25" s="2"/>
      <c r="H25" s="2"/>
      <c r="I25" s="2"/>
      <c r="J25" s="2"/>
    </row>
    <row r="26" spans="1:10" x14ac:dyDescent="0.2">
      <c r="A26" s="3"/>
      <c r="B26" s="11"/>
      <c r="C26" s="11"/>
      <c r="D26" s="11"/>
      <c r="E26" s="11"/>
      <c r="F26" s="3"/>
      <c r="G26" s="2"/>
      <c r="H26" s="2"/>
      <c r="I26" s="2"/>
      <c r="J26" s="2"/>
    </row>
    <row r="27" spans="1:10" x14ac:dyDescent="0.2">
      <c r="A27" s="3"/>
      <c r="B27" s="11"/>
      <c r="C27" s="11"/>
      <c r="D27" s="11"/>
      <c r="E27" s="11"/>
      <c r="F27" s="3"/>
      <c r="G27" s="2"/>
      <c r="H27" s="2"/>
      <c r="I27" s="2"/>
      <c r="J27" s="2"/>
    </row>
    <row r="28" spans="1:10" x14ac:dyDescent="0.2">
      <c r="A28" s="3"/>
      <c r="B28" s="11"/>
      <c r="C28" s="11"/>
      <c r="D28" s="11"/>
      <c r="E28" s="11"/>
      <c r="F28" s="3"/>
      <c r="G28" s="2"/>
      <c r="H28" s="2"/>
      <c r="I28" s="2"/>
      <c r="J28" s="2"/>
    </row>
    <row r="29" spans="1:10" x14ac:dyDescent="0.2">
      <c r="A29" s="3"/>
      <c r="B29" s="11"/>
      <c r="C29" s="11"/>
      <c r="D29" s="11"/>
      <c r="E29" s="11"/>
      <c r="F29" s="3"/>
      <c r="G29" s="2"/>
      <c r="H29" s="2"/>
      <c r="I29" s="2"/>
      <c r="J29" s="2"/>
    </row>
    <row r="30" spans="1:10" x14ac:dyDescent="0.2">
      <c r="A30" s="3"/>
      <c r="B30" s="11"/>
      <c r="C30" s="11"/>
      <c r="D30" s="11"/>
      <c r="E30" s="11"/>
      <c r="F30" s="3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zoomScaleNormal="100" zoomScaleSheetLayoutView="100" workbookViewId="0"/>
  </sheetViews>
  <sheetFormatPr defaultRowHeight="15" x14ac:dyDescent="0.2"/>
  <cols>
    <col min="1" max="1" width="29.99609375" customWidth="1"/>
    <col min="2" max="2" width="99.94921875" customWidth="1"/>
  </cols>
  <sheetData>
    <row r="1" spans="1:10" ht="21" x14ac:dyDescent="0.2">
      <c r="A1" s="19" t="s">
        <v>194</v>
      </c>
      <c r="B1" s="19"/>
      <c r="C1" s="19"/>
      <c r="D1" s="19"/>
      <c r="E1" s="19"/>
      <c r="F1" s="19"/>
      <c r="G1" s="2"/>
      <c r="H1" s="2"/>
      <c r="I1" s="2"/>
      <c r="J1" s="2"/>
    </row>
    <row r="2" spans="1:10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16" t="s">
        <v>195</v>
      </c>
      <c r="B3" s="3" t="s">
        <v>196</v>
      </c>
      <c r="C3" s="2"/>
      <c r="D3" s="2"/>
      <c r="E3" s="2"/>
      <c r="F3" s="2"/>
      <c r="G3" s="2"/>
      <c r="H3" s="2"/>
      <c r="I3" s="2"/>
      <c r="J3" s="2"/>
    </row>
    <row r="4" spans="1:10" ht="27.75" x14ac:dyDescent="0.2">
      <c r="A4" s="16" t="s">
        <v>197</v>
      </c>
      <c r="B4" s="3" t="s">
        <v>198</v>
      </c>
      <c r="C4" s="2"/>
      <c r="D4" s="2"/>
      <c r="E4" s="2"/>
      <c r="F4" s="2"/>
      <c r="G4" s="2"/>
      <c r="H4" s="2"/>
      <c r="I4" s="2"/>
      <c r="J4" s="2"/>
    </row>
    <row r="5" spans="1:10" x14ac:dyDescent="0.2">
      <c r="A5" s="16" t="s">
        <v>199</v>
      </c>
      <c r="B5" s="3" t="s">
        <v>200</v>
      </c>
      <c r="C5" s="2"/>
      <c r="D5" s="2"/>
      <c r="E5" s="2"/>
      <c r="F5" s="2"/>
      <c r="G5" s="2"/>
      <c r="H5" s="2"/>
      <c r="I5" s="2"/>
      <c r="J5" s="2"/>
    </row>
    <row r="6" spans="1:10" ht="27.75" x14ac:dyDescent="0.2">
      <c r="A6" s="16" t="s">
        <v>201</v>
      </c>
      <c r="B6" s="3" t="s">
        <v>202</v>
      </c>
      <c r="C6" s="2"/>
      <c r="D6" s="2"/>
      <c r="E6" s="2"/>
      <c r="F6" s="2"/>
      <c r="G6" s="2"/>
      <c r="H6" s="2"/>
      <c r="I6" s="2"/>
      <c r="J6" s="2"/>
    </row>
    <row r="7" spans="1:10" ht="41.25" x14ac:dyDescent="0.2">
      <c r="A7" s="17" t="s">
        <v>203</v>
      </c>
      <c r="B7" s="18" t="s">
        <v>204</v>
      </c>
      <c r="C7" s="2"/>
      <c r="D7" s="2"/>
      <c r="E7" s="2"/>
      <c r="F7" s="2"/>
      <c r="G7" s="2"/>
      <c r="H7" s="2"/>
      <c r="I7" s="2"/>
      <c r="J7" s="2"/>
    </row>
    <row r="8" spans="1:10" ht="27.75" x14ac:dyDescent="0.2">
      <c r="A8" s="16" t="s">
        <v>92</v>
      </c>
      <c r="B8" s="3" t="s">
        <v>205</v>
      </c>
      <c r="C8" s="2"/>
      <c r="D8" s="2"/>
      <c r="E8" s="2"/>
      <c r="F8" s="2"/>
      <c r="G8" s="2"/>
      <c r="H8" s="2"/>
      <c r="I8" s="2"/>
      <c r="J8" s="2"/>
    </row>
    <row r="9" spans="1:10" ht="27.75" x14ac:dyDescent="0.2">
      <c r="A9" s="16" t="s">
        <v>206</v>
      </c>
      <c r="B9" s="3" t="s">
        <v>207</v>
      </c>
      <c r="C9" s="2"/>
      <c r="D9" s="2"/>
      <c r="E9" s="2"/>
      <c r="F9" s="2"/>
      <c r="G9" s="2"/>
      <c r="H9" s="2"/>
      <c r="I9" s="2"/>
      <c r="J9" s="2"/>
    </row>
    <row r="10" spans="1:10" x14ac:dyDescent="0.2">
      <c r="A10" s="16"/>
      <c r="B10" s="3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16"/>
      <c r="B11" s="3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16"/>
      <c r="B12" s="3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16"/>
      <c r="B13" s="3"/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16"/>
      <c r="B14" s="3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16"/>
      <c r="B15" s="3"/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16"/>
      <c r="B16" s="3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16"/>
      <c r="B17" s="3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16"/>
      <c r="B18" s="3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16"/>
      <c r="B19" s="3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16"/>
      <c r="B20" s="3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ТЭП</vt:lpstr>
      <vt:lpstr>ТЭП_люди</vt:lpstr>
      <vt:lpstr>Доп_вводные_web</vt:lpstr>
      <vt:lpstr>Сверка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Ситников</dc:creator>
  <dcterms:created xsi:type="dcterms:W3CDTF">2026-07-19T21:17:05Z</dcterms:created>
</cp:coreProperties>
</file>